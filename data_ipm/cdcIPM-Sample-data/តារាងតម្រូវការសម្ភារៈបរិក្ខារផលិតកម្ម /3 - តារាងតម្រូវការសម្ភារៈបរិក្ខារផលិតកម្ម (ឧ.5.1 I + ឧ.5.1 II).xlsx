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QIP25105794</t>
        </is>
      </c>
      <c r="J1" s="2" t="inlineStr">
        <is>
          <t>Downloaded datetime: 02/12/2025 02:44:25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XP2000S Fast Spectral Analyzer</t>
        </is>
      </c>
      <c r="C7" s="8" t="inlineStr">
        <is>
          <t>set</t>
        </is>
      </c>
      <c r="D7" s="10" t="n">
        <v>1</v>
      </c>
      <c r="E7" s="11" t="n">
        <v>7142.86</v>
      </c>
      <c r="F7" s="12">
        <f>IF(AND(D7&lt;&gt;"",E7&lt;&gt;""),D7*E7,"")</f>
        <v/>
      </c>
      <c r="G7" s="13" t="n"/>
      <c r="H7" s="13" t="n">
        <v>100</v>
      </c>
      <c r="I7" s="14" t="inlineStr">
        <is>
          <t>II- Machinery and Equipment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EDX1800 Fluorescence Spectrometer</t>
        </is>
      </c>
      <c r="C8" s="8" t="inlineStr">
        <is>
          <t>set</t>
        </is>
      </c>
      <c r="D8" s="10" t="n">
        <v>1</v>
      </c>
      <c r="E8" s="11" t="n">
        <v>7142.86</v>
      </c>
      <c r="F8" s="12">
        <f>IF(AND(D8&lt;&gt;"",E8&lt;&gt;""),D8*E8,"")</f>
        <v/>
      </c>
      <c r="G8" s="13" t="n"/>
      <c r="H8" s="13" t="n">
        <v>100</v>
      </c>
      <c r="I8" s="14" t="inlineStr">
        <is>
          <t>II- Machinery and Equipment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High-Performance Liquid Chromatograph + Ultrasonic Cleaning Machine</t>
        </is>
      </c>
      <c r="C9" s="8" t="inlineStr">
        <is>
          <t>set</t>
        </is>
      </c>
      <c r="D9" s="10" t="n">
        <v>1</v>
      </c>
      <c r="E9" s="11" t="n">
        <v>7142.86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Standard Four-Color Light Box</t>
        </is>
      </c>
      <c r="C10" s="8" t="inlineStr">
        <is>
          <t>set</t>
        </is>
      </c>
      <c r="D10" s="10" t="n">
        <v>1</v>
      </c>
      <c r="E10" s="11" t="n">
        <v>285.71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Iu Leather Friction Color Fastness Tester</t>
        </is>
      </c>
      <c r="C11" s="8" t="inlineStr">
        <is>
          <t>set</t>
        </is>
      </c>
      <c r="D11" s="10" t="n">
        <v>1</v>
      </c>
      <c r="E11" s="11" t="n">
        <v>2142.86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Burst Strength Tester</t>
        </is>
      </c>
      <c r="C12" s="8" t="inlineStr">
        <is>
          <t>set</t>
        </is>
      </c>
      <c r="D12" s="10" t="n">
        <v>1</v>
      </c>
      <c r="E12" s="11" t="n">
        <v>285.71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Edge Crush Strength Tester</t>
        </is>
      </c>
      <c r="C13" s="8" t="inlineStr">
        <is>
          <t>set</t>
        </is>
      </c>
      <c r="D13" s="10" t="n">
        <v>1</v>
      </c>
      <c r="E13" s="11" t="n">
        <v>2142.86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Compression Strength Tester</t>
        </is>
      </c>
      <c r="C14" s="8" t="inlineStr">
        <is>
          <t>set</t>
        </is>
      </c>
      <c r="D14" s="10" t="n">
        <v>1</v>
      </c>
      <c r="E14" s="11" t="n">
        <v>2142.86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Single Arm Drop Tester</t>
        </is>
      </c>
      <c r="C15" s="8" t="inlineStr">
        <is>
          <t>set</t>
        </is>
      </c>
      <c r="D15" s="10" t="n">
        <v>1</v>
      </c>
      <c r="E15" s="11" t="n">
        <v>4285.71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Salt Spray Tester</t>
        </is>
      </c>
      <c r="C16" s="8" t="inlineStr">
        <is>
          <t>set</t>
        </is>
      </c>
      <c r="D16" s="10" t="n">
        <v>1</v>
      </c>
      <c r="E16" s="11" t="n">
        <v>4285.71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Horizontal Combustion Test Surface</t>
        </is>
      </c>
      <c r="C17" s="8" t="inlineStr">
        <is>
          <t>set</t>
        </is>
      </c>
      <c r="D17" s="10" t="n">
        <v>10</v>
      </c>
      <c r="E17" s="11" t="n">
        <v>10000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Pine Needle Machine</t>
        </is>
      </c>
      <c r="C18" s="8" t="inlineStr">
        <is>
          <t>set</t>
        </is>
      </c>
      <c r="D18" s="10" t="n">
        <v>10</v>
      </c>
      <c r="E18" s="11" t="n">
        <v>10000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Drawing Machine</t>
        </is>
      </c>
      <c r="C19" s="8" t="inlineStr">
        <is>
          <t>set</t>
        </is>
      </c>
      <c r="D19" s="10" t="n">
        <v>50</v>
      </c>
      <c r="E19" s="11" t="n">
        <v>3571.43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Branch Binding Machine</t>
        </is>
      </c>
      <c r="C20" s="8" t="inlineStr">
        <is>
          <t>set</t>
        </is>
      </c>
      <c r="D20" s="10" t="n">
        <v>50</v>
      </c>
      <c r="E20" s="11" t="n">
        <v>7142.86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Automatic Branch Binding Machine</t>
        </is>
      </c>
      <c r="C21" s="8" t="inlineStr">
        <is>
          <t>set</t>
        </is>
      </c>
      <c r="D21" s="10" t="n">
        <v>50</v>
      </c>
      <c r="E21" s="11" t="n">
        <v>7142.86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Tree Head Branch Binding Machine</t>
        </is>
      </c>
      <c r="C22" s="8" t="inlineStr">
        <is>
          <t>set</t>
        </is>
      </c>
      <c r="D22" s="10" t="n">
        <v>50</v>
      </c>
      <c r="E22" s="11" t="n">
        <v>1142.86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Forking Machine</t>
        </is>
      </c>
      <c r="C23" s="8" t="inlineStr">
        <is>
          <t>set</t>
        </is>
      </c>
      <c r="D23" s="10" t="n">
        <v>15</v>
      </c>
      <c r="E23" s="11" t="n">
        <v>5000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Automatic Forking Machine</t>
        </is>
      </c>
      <c r="C24" s="8" t="inlineStr">
        <is>
          <t>set</t>
        </is>
      </c>
      <c r="D24" s="10" t="n">
        <v>3</v>
      </c>
      <c r="E24" s="11" t="n">
        <v>14285.71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Slitting Machine</t>
        </is>
      </c>
      <c r="C25" s="8" t="inlineStr">
        <is>
          <t>set</t>
        </is>
      </c>
      <c r="D25" s="10" t="n">
        <v>15</v>
      </c>
      <c r="E25" s="11" t="n">
        <v>5000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Automatic Forking Machine (Vine Small Tree 2-In-1)</t>
        </is>
      </c>
      <c r="C26" s="8" t="inlineStr">
        <is>
          <t>set</t>
        </is>
      </c>
      <c r="D26" s="10" t="n">
        <v>10</v>
      </c>
      <c r="E26" s="11" t="n">
        <v>2857.14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Pine Needle Shaping Machine</t>
        </is>
      </c>
      <c r="C27" s="8" t="inlineStr">
        <is>
          <t>set</t>
        </is>
      </c>
      <c r="D27" s="10" t="n">
        <v>30</v>
      </c>
      <c r="E27" s="11" t="n">
        <v>2857.14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Hand Rolling Machine</t>
        </is>
      </c>
      <c r="C28" s="8" t="inlineStr">
        <is>
          <t>set</t>
        </is>
      </c>
      <c r="D28" s="10" t="n">
        <v>5</v>
      </c>
      <c r="E28" s="11" t="n">
        <v>7142.860000000001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Air Compressor</t>
        </is>
      </c>
      <c r="C29" s="8" t="inlineStr">
        <is>
          <t>set</t>
        </is>
      </c>
      <c r="D29" s="10" t="n">
        <v>3</v>
      </c>
      <c r="E29" s="11" t="n">
        <v>428.57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Concrete Mixer</t>
        </is>
      </c>
      <c r="C30" s="8" t="inlineStr">
        <is>
          <t>set</t>
        </is>
      </c>
      <c r="D30" s="10" t="n">
        <v>3</v>
      </c>
      <c r="E30" s="11" t="n">
        <v>428.57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Pine Needle Hot Water Machine (Brush Machine)</t>
        </is>
      </c>
      <c r="C31" s="8" t="inlineStr">
        <is>
          <t>set</t>
        </is>
      </c>
      <c r="D31" s="10" t="n">
        <v>2</v>
      </c>
      <c r="E31" s="11" t="n">
        <v>428.57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Iron Wire Cutting Machine (Straight Line Machine)</t>
        </is>
      </c>
      <c r="C32" s="8" t="inlineStr">
        <is>
          <t>set</t>
        </is>
      </c>
      <c r="D32" s="10" t="n">
        <v>3</v>
      </c>
      <c r="E32" s="11" t="n">
        <v>10000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Eight-Tube Automatic Leaf Cutting Machine</t>
        </is>
      </c>
      <c r="C33" s="8" t="inlineStr">
        <is>
          <t>set</t>
        </is>
      </c>
      <c r="D33" s="10" t="n">
        <v>1</v>
      </c>
      <c r="E33" s="11" t="n">
        <v>1000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Surface Grinding Machine</t>
        </is>
      </c>
      <c r="C34" s="8" t="inlineStr">
        <is>
          <t>set</t>
        </is>
      </c>
      <c r="D34" s="10" t="n">
        <v>2</v>
      </c>
      <c r="E34" s="11" t="n">
        <v>1142.86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Hemp Machine</t>
        </is>
      </c>
      <c r="C35" s="8" t="inlineStr">
        <is>
          <t>set</t>
        </is>
      </c>
      <c r="D35" s="10" t="n">
        <v>1</v>
      </c>
      <c r="E35" s="11" t="n">
        <v>1142.86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Winding Machine</t>
        </is>
      </c>
      <c r="C36" s="8" t="inlineStr">
        <is>
          <t>set</t>
        </is>
      </c>
      <c r="D36" s="10" t="n">
        <v>10</v>
      </c>
      <c r="E36" s="11" t="n">
        <v>7142.860000000001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Injection Molding Machine</t>
        </is>
      </c>
      <c r="C37" s="8" t="inlineStr">
        <is>
          <t>set</t>
        </is>
      </c>
      <c r="D37" s="10" t="n">
        <v>15</v>
      </c>
      <c r="E37" s="11" t="n">
        <v>47900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Vertical Mixing Machine</t>
        </is>
      </c>
      <c r="C38" s="8" t="inlineStr">
        <is>
          <t>set</t>
        </is>
      </c>
      <c r="D38" s="10" t="n">
        <v>2</v>
      </c>
      <c r="E38" s="11" t="n">
        <v>7142.86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Automatic Shaping Bone Injection Machine</t>
        </is>
      </c>
      <c r="C39" s="8" t="inlineStr">
        <is>
          <t>set</t>
        </is>
      </c>
      <c r="D39" s="10" t="n">
        <v>2</v>
      </c>
      <c r="E39" s="11" t="n">
        <v>7142.86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Fully Automatic Bone Injection Machine</t>
        </is>
      </c>
      <c r="C40" s="8" t="inlineStr">
        <is>
          <t>set</t>
        </is>
      </c>
      <c r="D40" s="10" t="n">
        <v>1</v>
      </c>
      <c r="E40" s="11" t="n">
        <v>1428.57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Punching Machine (Cutting Machine)</t>
        </is>
      </c>
      <c r="C41" s="8" t="inlineStr">
        <is>
          <t>set</t>
        </is>
      </c>
      <c r="D41" s="10" t="n">
        <v>8</v>
      </c>
      <c r="E41" s="11" t="n">
        <v>4285.71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Semi-Automatic Flower Shaping Machine</t>
        </is>
      </c>
      <c r="C42" s="8" t="inlineStr">
        <is>
          <t>set</t>
        </is>
      </c>
      <c r="D42" s="10" t="n">
        <v>1</v>
      </c>
      <c r="E42" s="11" t="n">
        <v>1428.57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Manual Tying Machine</t>
        </is>
      </c>
      <c r="C43" s="8" t="inlineStr">
        <is>
          <t>set</t>
        </is>
      </c>
      <c r="D43" s="10" t="n">
        <v>1</v>
      </c>
      <c r="E43" s="11" t="n">
        <v>714.29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Comb Hemp Silk Machine</t>
        </is>
      </c>
      <c r="C44" s="8" t="inlineStr">
        <is>
          <t>set</t>
        </is>
      </c>
      <c r="D44" s="10" t="n">
        <v>1</v>
      </c>
      <c r="E44" s="11" t="n">
        <v>2857.14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Hemp Machine</t>
        </is>
      </c>
      <c r="C45" s="8" t="inlineStr">
        <is>
          <t>set</t>
        </is>
      </c>
      <c r="D45" s="10" t="n">
        <v>1</v>
      </c>
      <c r="E45" s="11" t="n">
        <v>4285.71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Ring Welding Machine</t>
        </is>
      </c>
      <c r="C46" s="8" t="inlineStr">
        <is>
          <t>set</t>
        </is>
      </c>
      <c r="D46" s="10" t="n">
        <v>1</v>
      </c>
      <c r="E46" s="11" t="n">
        <v>357.14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Cut Pine Needle Tree Machine</t>
        </is>
      </c>
      <c r="C47" s="8" t="inlineStr">
        <is>
          <t>set</t>
        </is>
      </c>
      <c r="D47" s="10" t="n">
        <v>2</v>
      </c>
      <c r="E47" s="11" t="n">
        <v>357.14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Plastic Crusher</t>
        </is>
      </c>
      <c r="C48" s="8" t="inlineStr">
        <is>
          <t>set</t>
        </is>
      </c>
      <c r="D48" s="10" t="n">
        <v>4</v>
      </c>
      <c r="E48" s="11" t="n">
        <v>4285.71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Foot Pedal Welding Machine</t>
        </is>
      </c>
      <c r="C49" s="8" t="inlineStr">
        <is>
          <t>set</t>
        </is>
      </c>
      <c r="D49" s="10" t="n">
        <v>6</v>
      </c>
      <c r="E49" s="11" t="n">
        <v>357.14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Leaf Cutting Machine</t>
        </is>
      </c>
      <c r="C50" s="8" t="inlineStr">
        <is>
          <t>set</t>
        </is>
      </c>
      <c r="D50" s="10" t="n">
        <v>2</v>
      </c>
      <c r="E50" s="11" t="n">
        <v>714.29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Dehumidifier</t>
        </is>
      </c>
      <c r="C51" s="8" t="inlineStr">
        <is>
          <t>set</t>
        </is>
      </c>
      <c r="D51" s="10" t="n">
        <v>1</v>
      </c>
      <c r="E51" s="11" t="n">
        <v>428.57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Cement Block Maker</t>
        </is>
      </c>
      <c r="C52" s="8" t="inlineStr">
        <is>
          <t>set</t>
        </is>
      </c>
      <c r="D52" s="10" t="n">
        <v>5</v>
      </c>
      <c r="E52" s="11" t="n">
        <v>714.29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Electrostatic Flocking Machine</t>
        </is>
      </c>
      <c r="C53" s="8" t="inlineStr">
        <is>
          <t>set</t>
        </is>
      </c>
      <c r="D53" s="10" t="n">
        <v>4</v>
      </c>
      <c r="E53" s="11" t="n">
        <v>428.57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Manual Snowflake Flocking Machine</t>
        </is>
      </c>
      <c r="C54" s="8" t="inlineStr">
        <is>
          <t>set</t>
        </is>
      </c>
      <c r="D54" s="10" t="n">
        <v>1</v>
      </c>
      <c r="E54" s="11" t="n">
        <v>2857.14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Automatic Snowflake Flocking Machine</t>
        </is>
      </c>
      <c r="C55" s="8" t="inlineStr">
        <is>
          <t>set</t>
        </is>
      </c>
      <c r="D55" s="10" t="n">
        <v>1</v>
      </c>
      <c r="E55" s="11" t="n">
        <v>114285.71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Automatic Snowflake Flocking Wire</t>
        </is>
      </c>
      <c r="C56" s="8" t="inlineStr">
        <is>
          <t>set</t>
        </is>
      </c>
      <c r="D56" s="10" t="n">
        <v>1</v>
      </c>
      <c r="E56" s="11" t="n">
        <v>285.71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Pine Needle Cutting Machine</t>
        </is>
      </c>
      <c r="C57" s="8" t="inlineStr">
        <is>
          <t>set</t>
        </is>
      </c>
      <c r="D57" s="10" t="n">
        <v>2</v>
      </c>
      <c r="E57" s="11" t="n">
        <v>214.29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Hook Bending Machine</t>
        </is>
      </c>
      <c r="C58" s="8" t="inlineStr">
        <is>
          <t>set</t>
        </is>
      </c>
      <c r="D58" s="10" t="n">
        <v>1</v>
      </c>
      <c r="E58" s="11" t="n">
        <v>214.29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Tree Hanging Machine</t>
        </is>
      </c>
      <c r="C59" s="8" t="inlineStr">
        <is>
          <t>set</t>
        </is>
      </c>
      <c r="D59" s="10" t="n">
        <v>1</v>
      </c>
      <c r="E59" s="11" t="n">
        <v>2857.14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Pneumatic Flattening Machine</t>
        </is>
      </c>
      <c r="C60" s="8" t="inlineStr">
        <is>
          <t>set</t>
        </is>
      </c>
      <c r="D60" s="10" t="n">
        <v>1</v>
      </c>
      <c r="E60" s="11" t="n">
        <v>857.14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Flipping Machine</t>
        </is>
      </c>
      <c r="C61" s="8" t="inlineStr">
        <is>
          <t>set</t>
        </is>
      </c>
      <c r="D61" s="10" t="n">
        <v>1</v>
      </c>
      <c r="E61" s="11" t="n">
        <v>3571.43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Electric Flattening Machine</t>
        </is>
      </c>
      <c r="C62" s="8" t="inlineStr">
        <is>
          <t>set</t>
        </is>
      </c>
      <c r="D62" s="10" t="n">
        <v>1</v>
      </c>
      <c r="E62" s="11" t="n">
        <v>7142.86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Heat Treatment Furnace</t>
        </is>
      </c>
      <c r="C63" s="8" t="inlineStr">
        <is>
          <t>set</t>
        </is>
      </c>
      <c r="D63" s="10" t="n">
        <v>1</v>
      </c>
      <c r="E63" s="11" t="n">
        <v>428.57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De-Gluing Machine</t>
        </is>
      </c>
      <c r="C64" s="8" t="inlineStr">
        <is>
          <t>set</t>
        </is>
      </c>
      <c r="D64" s="10" t="n">
        <v>1</v>
      </c>
      <c r="E64" s="11" t="n">
        <v>428.57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Powder Coating Machine</t>
        </is>
      </c>
      <c r="C65" s="8" t="inlineStr">
        <is>
          <t>set</t>
        </is>
      </c>
      <c r="D65" s="10" t="n">
        <v>2</v>
      </c>
      <c r="E65" s="11" t="n">
        <v>714.29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Water Curtain Machine</t>
        </is>
      </c>
      <c r="C66" s="8" t="inlineStr">
        <is>
          <t>set</t>
        </is>
      </c>
      <c r="D66" s="10" t="n">
        <v>1</v>
      </c>
      <c r="E66" s="11" t="n">
        <v>5714.29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Rain Spray Machine</t>
        </is>
      </c>
      <c r="C67" s="8" t="inlineStr">
        <is>
          <t>set</t>
        </is>
      </c>
      <c r="D67" s="10" t="n">
        <v>2</v>
      </c>
      <c r="E67" s="11" t="n">
        <v>714.29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Drilling Machine</t>
        </is>
      </c>
      <c r="C68" s="8" t="inlineStr">
        <is>
          <t>set</t>
        </is>
      </c>
      <c r="D68" s="10" t="n">
        <v>5</v>
      </c>
      <c r="E68" s="11" t="n">
        <v>827.8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Straightening Machine</t>
        </is>
      </c>
      <c r="C69" s="8" t="inlineStr">
        <is>
          <t>set</t>
        </is>
      </c>
      <c r="D69" s="10" t="n">
        <v>2</v>
      </c>
      <c r="E69" s="11" t="n">
        <v>817.9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Punching Machine</t>
        </is>
      </c>
      <c r="C70" s="8" t="inlineStr">
        <is>
          <t>set</t>
        </is>
      </c>
      <c r="D70" s="10" t="n">
        <v>5</v>
      </c>
      <c r="E70" s="11" t="n">
        <v>980.3200000000001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Hanging Press Machine</t>
        </is>
      </c>
      <c r="C71" s="8" t="inlineStr">
        <is>
          <t>set</t>
        </is>
      </c>
      <c r="D71" s="10" t="n">
        <v>10</v>
      </c>
      <c r="E71" s="11" t="n">
        <v>717.28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Spot Welding Machine</t>
        </is>
      </c>
      <c r="C72" s="8" t="inlineStr">
        <is>
          <t>set</t>
        </is>
      </c>
      <c r="D72" s="10" t="n">
        <v>2</v>
      </c>
      <c r="E72" s="11" t="n">
        <v>625.45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Edge Rolling Machine</t>
        </is>
      </c>
      <c r="C73" s="8" t="inlineStr">
        <is>
          <t>set</t>
        </is>
      </c>
      <c r="D73" s="10" t="n">
        <v>2</v>
      </c>
      <c r="E73" s="11" t="n">
        <v>823.62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Sealing Machine</t>
        </is>
      </c>
      <c r="C74" s="8" t="inlineStr">
        <is>
          <t>set</t>
        </is>
      </c>
      <c r="D74" s="10" t="n">
        <v>2</v>
      </c>
      <c r="E74" s="11" t="n">
        <v>789.5599999999999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Shrink Tube Machine</t>
        </is>
      </c>
      <c r="C75" s="8" t="inlineStr">
        <is>
          <t>set</t>
        </is>
      </c>
      <c r="D75" s="10" t="n">
        <v>2</v>
      </c>
      <c r="E75" s="11" t="n">
        <v>722.95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Bending Machine</t>
        </is>
      </c>
      <c r="C76" s="8" t="inlineStr">
        <is>
          <t>set</t>
        </is>
      </c>
      <c r="D76" s="10" t="n">
        <v>2</v>
      </c>
      <c r="E76" s="11" t="n">
        <v>745.63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Spot Welding Assembly Machine</t>
        </is>
      </c>
      <c r="C77" s="8" t="inlineStr">
        <is>
          <t>set</t>
        </is>
      </c>
      <c r="D77" s="10" t="n">
        <v>1</v>
      </c>
      <c r="E77" s="11" t="n">
        <v>767.49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Automatic Pressing Fork Position Machine</t>
        </is>
      </c>
      <c r="C78" s="8" t="inlineStr">
        <is>
          <t>set</t>
        </is>
      </c>
      <c r="D78" s="10" t="n">
        <v>5</v>
      </c>
      <c r="E78" s="11" t="n">
        <v>28.57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Drawing Machine / Pine Needle Machine Feed Tray (Medium Tray)</t>
        </is>
      </c>
      <c r="C79" s="8" t="inlineStr">
        <is>
          <t>set</t>
        </is>
      </c>
      <c r="D79" s="10" t="n">
        <v>1</v>
      </c>
      <c r="E79" s="11" t="n">
        <v>28.57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Drawing Machine / Pine Needle Machine Feed Tray (Large Tray)</t>
        </is>
      </c>
      <c r="C80" s="8" t="inlineStr">
        <is>
          <t>set</t>
        </is>
      </c>
      <c r="D80" s="10" t="n">
        <v>1</v>
      </c>
      <c r="E80" s="11" t="n">
        <v>28.57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Pine Needle Machine with Two Hanging Feed Trays (Small Tray)</t>
        </is>
      </c>
      <c r="C81" s="8" t="inlineStr">
        <is>
          <t>set</t>
        </is>
      </c>
      <c r="D81" s="10" t="n">
        <v>2</v>
      </c>
      <c r="E81" s="11" t="n">
        <v>28.57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Pine Needle Machine with Two Hanging Feed Trays (Medium Tray)</t>
        </is>
      </c>
      <c r="C82" s="8" t="inlineStr">
        <is>
          <t>set</t>
        </is>
      </c>
      <c r="D82" s="10" t="n">
        <v>1</v>
      </c>
      <c r="E82" s="11" t="n">
        <v>71.43000000000001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Complete Set of Drawing Machine (Arc-Shaped Molding)</t>
        </is>
      </c>
      <c r="C83" s="8" t="inlineStr">
        <is>
          <t>set</t>
        </is>
      </c>
      <c r="D83" s="10" t="n">
        <v>1</v>
      </c>
      <c r="E83" s="11" t="n">
        <v>71.43000000000001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Complete Set of Drawing Machine (Bullet Head Molding)</t>
        </is>
      </c>
      <c r="C84" s="8" t="inlineStr">
        <is>
          <t>set</t>
        </is>
      </c>
      <c r="D84" s="10" t="n">
        <v>1</v>
      </c>
      <c r="E84" s="11" t="n">
        <v>71.43000000000001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Complete Set of Drawing Machine (Pointed Head Molding)</t>
        </is>
      </c>
      <c r="C85" s="8" t="inlineStr">
        <is>
          <t>set</t>
        </is>
      </c>
      <c r="D85" s="10" t="n">
        <v>1</v>
      </c>
      <c r="E85" s="11" t="n">
        <v>71.43000000000001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Drawing Machine (Bullet Head Single Molding)</t>
        </is>
      </c>
      <c r="C86" s="8" t="inlineStr">
        <is>
          <t>set</t>
        </is>
      </c>
      <c r="D86" s="10" t="n">
        <v>1</v>
      </c>
      <c r="E86" s="11" t="n">
        <v>71.43000000000001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Drawing Machine (Pointed Head Single Molding)</t>
        </is>
      </c>
      <c r="C87" s="8" t="inlineStr">
        <is>
          <t>set</t>
        </is>
      </c>
      <c r="D87" s="10" t="n">
        <v>2</v>
      </c>
      <c r="E87" s="11" t="n">
        <v>285.71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All-In-One Machine</t>
        </is>
      </c>
      <c r="C88" s="8" t="inlineStr">
        <is>
          <t>set</t>
        </is>
      </c>
      <c r="D88" s="10" t="n">
        <v>2</v>
      </c>
      <c r="E88" s="11" t="n">
        <v>285.71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Electric Forklift</t>
        </is>
      </c>
      <c r="C89" s="8" t="inlineStr">
        <is>
          <t>set</t>
        </is>
      </c>
      <c r="D89" s="10" t="n">
        <v>10</v>
      </c>
      <c r="E89" s="11" t="n">
        <v>11428.57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3-Ton Manual Forklift</t>
        </is>
      </c>
      <c r="C90" s="8" t="inlineStr">
        <is>
          <t>set</t>
        </is>
      </c>
      <c r="D90" s="10" t="n">
        <v>10</v>
      </c>
      <c r="E90" s="11" t="n">
        <v>714.29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Electric Heater</t>
        </is>
      </c>
      <c r="C91" s="8" t="inlineStr">
        <is>
          <t>set</t>
        </is>
      </c>
      <c r="D91" s="10" t="n">
        <v>10</v>
      </c>
      <c r="E91" s="11" t="n">
        <v>714.29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Dehumidifier</t>
        </is>
      </c>
      <c r="C92" s="8" t="inlineStr">
        <is>
          <t>set</t>
        </is>
      </c>
      <c r="D92" s="10" t="n">
        <v>38</v>
      </c>
      <c r="E92" s="11" t="n">
        <v>214.29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Computer Monitor</t>
        </is>
      </c>
      <c r="C93" s="8" t="inlineStr">
        <is>
          <t>set</t>
        </is>
      </c>
      <c r="D93" s="10" t="n">
        <v>15</v>
      </c>
      <c r="E93" s="11" t="n">
        <v>428.57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Wall-Mounted Air Conditioner</t>
        </is>
      </c>
      <c r="C94" s="8" t="inlineStr">
        <is>
          <t>set</t>
        </is>
      </c>
      <c r="D94" s="10" t="n">
        <v>8</v>
      </c>
      <c r="E94" s="11" t="n">
        <v>428.57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Vertical Air Conditioner</t>
        </is>
      </c>
      <c r="C95" s="8" t="inlineStr">
        <is>
          <t>set</t>
        </is>
      </c>
      <c r="D95" s="10" t="n">
        <v>7</v>
      </c>
      <c r="E95" s="11" t="n">
        <v>428.57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Central Air Conditioner</t>
        </is>
      </c>
      <c r="C96" s="8" t="inlineStr">
        <is>
          <t>set</t>
        </is>
      </c>
      <c r="D96" s="10" t="n">
        <v>11</v>
      </c>
      <c r="E96" s="11" t="n">
        <v>214.29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Water Dispenser</t>
        </is>
      </c>
      <c r="C97" s="8" t="inlineStr">
        <is>
          <t>set</t>
        </is>
      </c>
      <c r="D97" s="10" t="n">
        <v>5</v>
      </c>
      <c r="E97" s="11" t="n">
        <v>714.29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Refrigerator</t>
        </is>
      </c>
      <c r="C98" s="8" t="inlineStr">
        <is>
          <t>set</t>
        </is>
      </c>
      <c r="D98" s="10" t="n">
        <v>1</v>
      </c>
      <c r="E98" s="11" t="n">
        <v>214.29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Electric Tester</t>
        </is>
      </c>
      <c r="C99" s="8" t="inlineStr">
        <is>
          <t>set</t>
        </is>
      </c>
      <c r="D99" s="10" t="n">
        <v>1</v>
      </c>
      <c r="E99" s="11" t="n">
        <v>214.29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Battery Tester</t>
        </is>
      </c>
      <c r="C100" s="8" t="inlineStr">
        <is>
          <t>set</t>
        </is>
      </c>
      <c r="D100" s="10" t="n">
        <v>1</v>
      </c>
      <c r="E100" s="11" t="n">
        <v>71.43000000000001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Large Electric Stove</t>
        </is>
      </c>
      <c r="C101" s="8" t="inlineStr">
        <is>
          <t>set</t>
        </is>
      </c>
      <c r="D101" s="10" t="n">
        <v>1</v>
      </c>
      <c r="E101" s="11" t="n">
        <v>71.43000000000001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Water Pump (for Bottled Water)</t>
        </is>
      </c>
      <c r="C102" s="8" t="inlineStr">
        <is>
          <t>set</t>
        </is>
      </c>
      <c r="D102" s="10" t="n">
        <v>10</v>
      </c>
      <c r="E102" s="11" t="n">
        <v>714.29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Dryer</t>
        </is>
      </c>
      <c r="C103" s="8" t="inlineStr">
        <is>
          <t>set</t>
        </is>
      </c>
      <c r="D103" s="10" t="n">
        <v>10</v>
      </c>
      <c r="E103" s="11" t="n">
        <v>714.29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Water Dispenser</t>
        </is>
      </c>
      <c r="C104" s="8" t="inlineStr">
        <is>
          <t>set</t>
        </is>
      </c>
      <c r="D104" s="10" t="n">
        <v>37</v>
      </c>
      <c r="E104" s="11" t="n">
        <v>214.29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Computer Mainframe</t>
        </is>
      </c>
      <c r="C105" s="8" t="inlineStr">
        <is>
          <t>set</t>
        </is>
      </c>
      <c r="D105" s="10" t="n">
        <v>16</v>
      </c>
      <c r="E105" s="11" t="n">
        <v>71.43000000000001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Router</t>
        </is>
      </c>
      <c r="C106" s="8" t="inlineStr">
        <is>
          <t>set</t>
        </is>
      </c>
      <c r="D106" s="10" t="n">
        <v>10</v>
      </c>
      <c r="E106" s="11" t="n">
        <v>71.42999999999999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Surveillance Camera</t>
        </is>
      </c>
      <c r="C107" s="8" t="inlineStr">
        <is>
          <t>set</t>
        </is>
      </c>
      <c r="D107" s="10" t="n">
        <v>10</v>
      </c>
      <c r="E107" s="11" t="n">
        <v>500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Black and White Printer</t>
        </is>
      </c>
      <c r="C108" s="8" t="inlineStr">
        <is>
          <t>set</t>
        </is>
      </c>
      <c r="D108" s="10" t="n">
        <v>1</v>
      </c>
      <c r="E108" s="11" t="n">
        <v>2857.14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3d Printer</t>
        </is>
      </c>
      <c r="C109" s="8" t="inlineStr">
        <is>
          <t>set</t>
        </is>
      </c>
      <c r="D109" s="10" t="n">
        <v>20</v>
      </c>
      <c r="E109" s="11" t="n">
        <v>71.42999999999999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Ceiling Fan</t>
        </is>
      </c>
      <c r="C110" s="8" t="inlineStr">
        <is>
          <t>set</t>
        </is>
      </c>
      <c r="D110" s="10" t="n">
        <v>6</v>
      </c>
      <c r="E110" s="11" t="n">
        <v>71.42999999999999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Wall Fan</t>
        </is>
      </c>
      <c r="C111" s="8" t="inlineStr">
        <is>
          <t>set</t>
        </is>
      </c>
      <c r="D111" s="10" t="n">
        <v>11</v>
      </c>
      <c r="E111" s="11" t="n">
        <v>71.43000000000001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Floor Fan</t>
        </is>
      </c>
      <c r="C112" s="8" t="inlineStr">
        <is>
          <t>set</t>
        </is>
      </c>
      <c r="D112" s="10" t="n">
        <v>20</v>
      </c>
      <c r="E112" s="11" t="n">
        <v>7.140000000000001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Air Conditioner Remote</t>
        </is>
      </c>
      <c r="C113" s="8" t="inlineStr">
        <is>
          <t>set</t>
        </is>
      </c>
      <c r="D113" s="10" t="n">
        <v>14</v>
      </c>
      <c r="E113" s="11" t="n">
        <v>7.14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Fan Remote</t>
        </is>
      </c>
      <c r="C114" s="8" t="inlineStr">
        <is>
          <t>set</t>
        </is>
      </c>
      <c r="D114" s="10" t="n">
        <v>33</v>
      </c>
      <c r="E114" s="11" t="n">
        <v>7.140000000000001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Power Strip</t>
        </is>
      </c>
      <c r="C115" s="8" t="inlineStr">
        <is>
          <t>set</t>
        </is>
      </c>
      <c r="D115" s="10" t="n">
        <v>10</v>
      </c>
      <c r="E115" s="11" t="n">
        <v>28.57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Walkie-Talkie</t>
        </is>
      </c>
      <c r="C116" s="8" t="inlineStr">
        <is>
          <t>set</t>
        </is>
      </c>
      <c r="D116" s="10" t="n">
        <v>4</v>
      </c>
      <c r="E116" s="11" t="n">
        <v>28.57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Electric Tea Kettle</t>
        </is>
      </c>
      <c r="C117" s="8" t="inlineStr">
        <is>
          <t>set</t>
        </is>
      </c>
      <c r="D117" s="10" t="n">
        <v>2</v>
      </c>
      <c r="E117" s="11" t="n">
        <v>7.14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Flashlight</t>
        </is>
      </c>
      <c r="C118" s="8" t="inlineStr">
        <is>
          <t>set</t>
        </is>
      </c>
      <c r="D118" s="10" t="n">
        <v>153</v>
      </c>
      <c r="E118" s="11" t="n">
        <v>2.86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Electric Lamp (Light Tube)</t>
        </is>
      </c>
      <c r="C119" s="8" t="inlineStr">
        <is>
          <t>set</t>
        </is>
      </c>
      <c r="D119" s="10" t="n">
        <v>5</v>
      </c>
      <c r="E119" s="11" t="n">
        <v>35.71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Large Electronic Scale</t>
        </is>
      </c>
      <c r="C120" s="8" t="inlineStr">
        <is>
          <t>pcs</t>
        </is>
      </c>
      <c r="D120" s="10" t="n">
        <v>6</v>
      </c>
      <c r="E120" s="11" t="n">
        <v>14.29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Small Electronic Scale</t>
        </is>
      </c>
      <c r="C121" s="8" t="inlineStr">
        <is>
          <t>pcs</t>
        </is>
      </c>
      <c r="D121" s="10" t="n">
        <v>3</v>
      </c>
      <c r="E121" s="11" t="n">
        <v>71.42999999999999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Electronic Scale</t>
        </is>
      </c>
      <c r="C122" s="8" t="inlineStr">
        <is>
          <t>pcs</t>
        </is>
      </c>
      <c r="D122" s="10" t="n">
        <v>6</v>
      </c>
      <c r="E122" s="11" t="n">
        <v>71.42999999999999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Cordless Drill</t>
        </is>
      </c>
      <c r="C123" s="8" t="inlineStr">
        <is>
          <t>set</t>
        </is>
      </c>
      <c r="D123" s="10" t="n">
        <v>7</v>
      </c>
      <c r="E123" s="11" t="n">
        <v>500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Dehumidifier</t>
        </is>
      </c>
      <c r="C124" s="8" t="inlineStr">
        <is>
          <t>set</t>
        </is>
      </c>
      <c r="D124" s="10" t="n">
        <v>5</v>
      </c>
      <c r="E124" s="11" t="n">
        <v>28.57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Landline Phone</t>
        </is>
      </c>
      <c r="C125" s="8" t="inlineStr">
        <is>
          <t>set</t>
        </is>
      </c>
      <c r="D125" s="10" t="n">
        <v>36</v>
      </c>
      <c r="E125" s="11" t="n">
        <v>14.29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Calculator</t>
        </is>
      </c>
      <c r="C126" s="8" t="inlineStr">
        <is>
          <t>set</t>
        </is>
      </c>
      <c r="D126" s="10" t="n">
        <v>110</v>
      </c>
      <c r="E126" s="11" t="n">
        <v>21.43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Spotlight</t>
        </is>
      </c>
      <c r="C127" s="8" t="inlineStr">
        <is>
          <t>set</t>
        </is>
      </c>
      <c r="D127" s="10" t="n">
        <v>58</v>
      </c>
      <c r="E127" s="11" t="n">
        <v>21.43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Recessed Light</t>
        </is>
      </c>
      <c r="C128" s="8" t="inlineStr">
        <is>
          <t>set</t>
        </is>
      </c>
      <c r="D128" s="10" t="n">
        <v>3</v>
      </c>
      <c r="E128" s="11" t="n">
        <v>42.86000000000001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Power Bank</t>
        </is>
      </c>
      <c r="C129" s="8" t="inlineStr">
        <is>
          <t>set</t>
        </is>
      </c>
      <c r="D129" s="10" t="n">
        <v>4</v>
      </c>
      <c r="E129" s="11" t="n">
        <v>1142.86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Television</t>
        </is>
      </c>
      <c r="C130" s="8" t="inlineStr">
        <is>
          <t>set</t>
        </is>
      </c>
      <c r="D130" s="10" t="n">
        <v>1</v>
      </c>
      <c r="E130" s="11" t="n">
        <v>214.29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Switch</t>
        </is>
      </c>
      <c r="C131" s="8" t="inlineStr">
        <is>
          <t>set</t>
        </is>
      </c>
      <c r="D131" s="10" t="n">
        <v>1004</v>
      </c>
      <c r="E131" s="11" t="n">
        <v>28.57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Lighting Lamp</t>
        </is>
      </c>
      <c r="C132" s="8" t="inlineStr">
        <is>
          <t>set</t>
        </is>
      </c>
      <c r="D132" s="10" t="n">
        <v>203</v>
      </c>
      <c r="E132" s="11" t="n">
        <v>28.57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Emergency Light</t>
        </is>
      </c>
      <c r="C133" s="8" t="inlineStr">
        <is>
          <t>set</t>
        </is>
      </c>
      <c r="D133" s="10" t="n">
        <v>74</v>
      </c>
      <c r="E133" s="11" t="n">
        <v>28.57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Exit Sign</t>
        </is>
      </c>
      <c r="C134" s="8" t="inlineStr">
        <is>
          <t>set</t>
        </is>
      </c>
      <c r="D134" s="10" t="n">
        <v>100</v>
      </c>
      <c r="E134" s="11" t="n">
        <v>28.57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Power Strip</t>
        </is>
      </c>
      <c r="C135" s="8" t="inlineStr">
        <is>
          <t>set</t>
        </is>
      </c>
      <c r="D135" s="10" t="n">
        <v>3</v>
      </c>
      <c r="E135" s="11" t="n">
        <v>28.57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Spare Rotary Blade (Right)</t>
        </is>
      </c>
      <c r="C136" s="8" t="inlineStr">
        <is>
          <t>set</t>
        </is>
      </c>
      <c r="D136" s="10" t="n">
        <v>2</v>
      </c>
      <c r="E136" s="11" t="n">
        <v>28.57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Spare Rotary Blade (Left)</t>
        </is>
      </c>
      <c r="C137" s="8" t="inlineStr">
        <is>
          <t>set</t>
        </is>
      </c>
      <c r="D137" s="10" t="n">
        <v>26</v>
      </c>
      <c r="E137" s="11" t="n">
        <v>71.43000000000001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Spare Bottom Blade</t>
        </is>
      </c>
      <c r="C138" s="8" t="inlineStr">
        <is>
          <t>set</t>
        </is>
      </c>
      <c r="D138" s="10" t="n">
        <v>2</v>
      </c>
      <c r="E138" s="11" t="n">
        <v>7.14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Hex Wrench</t>
        </is>
      </c>
      <c r="C139" s="8" t="inlineStr">
        <is>
          <t>pcs</t>
        </is>
      </c>
      <c r="D139" s="10" t="n">
        <v>10</v>
      </c>
      <c r="E139" s="11" t="n">
        <v>7.140000000000001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Open-End Wrench</t>
        </is>
      </c>
      <c r="C140" s="8" t="inlineStr">
        <is>
          <t>pcs</t>
        </is>
      </c>
      <c r="D140" s="10" t="n">
        <v>2</v>
      </c>
      <c r="E140" s="11" t="n">
        <v>2.86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Adjustable Wrench</t>
        </is>
      </c>
      <c r="C141" s="8" t="inlineStr">
        <is>
          <t>pcs</t>
        </is>
      </c>
      <c r="D141" s="10" t="n">
        <v>5</v>
      </c>
      <c r="E141" s="11" t="n">
        <v>2.86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Socket Wrench</t>
        </is>
      </c>
      <c r="C142" s="8" t="inlineStr">
        <is>
          <t>pcs</t>
        </is>
      </c>
      <c r="D142" s="10" t="n">
        <v>29</v>
      </c>
      <c r="E142" s="11" t="n">
        <v>2.86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Scissors</t>
        </is>
      </c>
      <c r="C143" s="8" t="inlineStr">
        <is>
          <t>pcs</t>
        </is>
      </c>
      <c r="D143" s="10" t="n">
        <v>5</v>
      </c>
      <c r="E143" s="11" t="n">
        <v>2.86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Tailor Scissors</t>
        </is>
      </c>
      <c r="C144" s="8" t="inlineStr">
        <is>
          <t>pcs</t>
        </is>
      </c>
      <c r="D144" s="10" t="n">
        <v>6</v>
      </c>
      <c r="E144" s="11" t="n">
        <v>2.86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Pneumatic Cutting Pliers</t>
        </is>
      </c>
      <c r="C145" s="8" t="inlineStr">
        <is>
          <t>pcs</t>
        </is>
      </c>
      <c r="D145" s="10" t="n">
        <v>4</v>
      </c>
      <c r="E145" s="11" t="n">
        <v>2.86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Pneumatic Cutter Head</t>
        </is>
      </c>
      <c r="C146" s="8" t="inlineStr">
        <is>
          <t>pcs</t>
        </is>
      </c>
      <c r="D146" s="10" t="n">
        <v>1</v>
      </c>
      <c r="E146" s="11" t="n">
        <v>2.86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Hammer</t>
        </is>
      </c>
      <c r="C147" s="8" t="inlineStr">
        <is>
          <t>pcs</t>
        </is>
      </c>
      <c r="D147" s="10" t="n">
        <v>15</v>
      </c>
      <c r="E147" s="11" t="n">
        <v>2.86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Wire Cutting Pliers</t>
        </is>
      </c>
      <c r="C148" s="8" t="inlineStr">
        <is>
          <t>pcs</t>
        </is>
      </c>
      <c r="D148" s="10" t="n">
        <v>11</v>
      </c>
      <c r="E148" s="11" t="n">
        <v>2.86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Sprue Cutting Pliers</t>
        </is>
      </c>
      <c r="C149" s="8" t="inlineStr">
        <is>
          <t>pcs</t>
        </is>
      </c>
      <c r="D149" s="10" t="n">
        <v>17</v>
      </c>
      <c r="E149" s="11" t="n">
        <v>2.86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Needle Nose Pliers</t>
        </is>
      </c>
      <c r="C150" s="8" t="inlineStr">
        <is>
          <t>pcs</t>
        </is>
      </c>
      <c r="D150" s="10" t="n">
        <v>1</v>
      </c>
      <c r="E150" s="11" t="n">
        <v>2.86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Internal Circlip Pliers</t>
        </is>
      </c>
      <c r="C151" s="8" t="inlineStr">
        <is>
          <t>pcs</t>
        </is>
      </c>
      <c r="D151" s="10" t="n">
        <v>14</v>
      </c>
      <c r="E151" s="11" t="n">
        <v>2.86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Hot Melt Glue Furnace</t>
        </is>
      </c>
      <c r="C152" s="8" t="inlineStr">
        <is>
          <t>pcs</t>
        </is>
      </c>
      <c r="D152" s="10" t="n">
        <v>35</v>
      </c>
      <c r="E152" s="11" t="n">
        <v>2.86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Hot Melt Glue Gun</t>
        </is>
      </c>
      <c r="C153" s="8" t="inlineStr">
        <is>
          <t>pcs</t>
        </is>
      </c>
      <c r="D153" s="10" t="n">
        <v>4</v>
      </c>
      <c r="E153" s="11" t="n">
        <v>2.86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B154" s="9" t="inlineStr">
        <is>
          <t>Frying Pan</t>
        </is>
      </c>
      <c r="C154" s="8" t="inlineStr">
        <is>
          <t>pcs</t>
        </is>
      </c>
      <c r="D154" s="10" t="n">
        <v>5</v>
      </c>
      <c r="E154" s="11" t="n">
        <v>2.86</v>
      </c>
      <c r="F154" s="12">
        <f>IF(AND(D154&lt;&gt;"",E154&lt;&gt;""),D154*E154,"")</f>
        <v/>
      </c>
      <c r="G154" s="13" t="n"/>
      <c r="H154" s="13" t="n">
        <v>100</v>
      </c>
      <c r="I154" s="14" t="inlineStr">
        <is>
          <t>II- Machinery and Equipment</t>
        </is>
      </c>
      <c r="J154" s="9" t="inlineStr"/>
    </row>
    <row r="155">
      <c r="A155" s="8">
        <f>IF(AND(ISBLANK(B155),ISBLANK(C155),ISBLANK(D155),ISBLANK(E155),ISBLANK(G155),ISBLANK(H155),ISBLANK(J155)),"",ROW()-6)</f>
        <v/>
      </c>
      <c r="B155" s="9" t="inlineStr">
        <is>
          <t>Antique Electric Stove</t>
        </is>
      </c>
      <c r="C155" s="8" t="inlineStr">
        <is>
          <t>pcs</t>
        </is>
      </c>
      <c r="D155" s="10" t="n">
        <v>1</v>
      </c>
      <c r="E155" s="11" t="n">
        <v>71.43000000000001</v>
      </c>
      <c r="F155" s="12">
        <f>IF(AND(D155&lt;&gt;"",E155&lt;&gt;""),D155*E155,"")</f>
        <v/>
      </c>
      <c r="G155" s="13" t="n"/>
      <c r="H155" s="13" t="n">
        <v>100</v>
      </c>
      <c r="I155" s="14" t="inlineStr">
        <is>
          <t>II- Machinery and Equipment</t>
        </is>
      </c>
      <c r="J155" s="9" t="inlineStr"/>
    </row>
    <row r="156">
      <c r="A156" s="8">
        <f>IF(AND(ISBLANK(B156),ISBLANK(C156),ISBLANK(D156),ISBLANK(E156),ISBLANK(G156),ISBLANK(H156),ISBLANK(J156)),"",ROW()-6)</f>
        <v/>
      </c>
      <c r="B156" s="9" t="inlineStr">
        <is>
          <t>Electric Tester</t>
        </is>
      </c>
      <c r="C156" s="8" t="inlineStr">
        <is>
          <t>pcs</t>
        </is>
      </c>
      <c r="D156" s="10" t="n">
        <v>1</v>
      </c>
      <c r="E156" s="11" t="n">
        <v>71.43000000000001</v>
      </c>
      <c r="F156" s="12">
        <f>IF(AND(D156&lt;&gt;"",E156&lt;&gt;""),D156*E156,"")</f>
        <v/>
      </c>
      <c r="G156" s="13" t="n"/>
      <c r="H156" s="13" t="n">
        <v>100</v>
      </c>
      <c r="I156" s="14" t="inlineStr">
        <is>
          <t>II- Machinery and Equipment</t>
        </is>
      </c>
      <c r="J156" s="9" t="inlineStr"/>
    </row>
    <row r="157">
      <c r="A157" s="8">
        <f>IF(AND(ISBLANK(B157),ISBLANK(C157),ISBLANK(D157),ISBLANK(E157),ISBLANK(G157),ISBLANK(H157),ISBLANK(J157)),"",ROW()-6)</f>
        <v/>
      </c>
      <c r="B157" s="9" t="inlineStr">
        <is>
          <t>Battery Tester</t>
        </is>
      </c>
      <c r="C157" s="8" t="inlineStr">
        <is>
          <t>set</t>
        </is>
      </c>
      <c r="D157" s="10" t="n">
        <v>22</v>
      </c>
      <c r="E157" s="11" t="n">
        <v>7.140000000000001</v>
      </c>
      <c r="F157" s="12">
        <f>IF(AND(D157&lt;&gt;"",E157&lt;&gt;""),D157*E157,"")</f>
        <v/>
      </c>
      <c r="G157" s="13" t="n"/>
      <c r="H157" s="13" t="n">
        <v>100</v>
      </c>
      <c r="I157" s="14" t="inlineStr">
        <is>
          <t>II- Machinery and Equipment</t>
        </is>
      </c>
      <c r="J157" s="9" t="inlineStr"/>
    </row>
    <row r="158">
      <c r="A158" s="8">
        <f>IF(AND(ISBLANK(B158),ISBLANK(C158),ISBLANK(D158),ISBLANK(E158),ISBLANK(G158),ISBLANK(H158),ISBLANK(J158)),"",ROW()-6)</f>
        <v/>
      </c>
      <c r="B158" s="9" t="inlineStr">
        <is>
          <t>Power Strip</t>
        </is>
      </c>
      <c r="C158" s="8" t="inlineStr">
        <is>
          <t>pcs</t>
        </is>
      </c>
      <c r="D158" s="10" t="n">
        <v>5</v>
      </c>
      <c r="E158" s="11" t="n">
        <v>7.140000000000001</v>
      </c>
      <c r="F158" s="12">
        <f>IF(AND(D158&lt;&gt;"",E158&lt;&gt;""),D158*E158,"")</f>
        <v/>
      </c>
      <c r="G158" s="13" t="n"/>
      <c r="H158" s="13" t="n">
        <v>100</v>
      </c>
      <c r="I158" s="14" t="inlineStr">
        <is>
          <t>II- Machinery and Equipment</t>
        </is>
      </c>
      <c r="J158" s="9" t="inlineStr"/>
    </row>
    <row r="159">
      <c r="A159" s="8">
        <f>IF(AND(ISBLANK(B159),ISBLANK(C159),ISBLANK(D159),ISBLANK(E159),ISBLANK(G159),ISBLANK(H159),ISBLANK(J159)),"",ROW()-6)</f>
        <v/>
      </c>
      <c r="B159" s="9" t="inlineStr">
        <is>
          <t>Electronic Scale</t>
        </is>
      </c>
      <c r="C159" s="8" t="inlineStr">
        <is>
          <t>pcs</t>
        </is>
      </c>
      <c r="D159" s="10" t="n">
        <v>6</v>
      </c>
      <c r="E159" s="11" t="n">
        <v>7.140000000000001</v>
      </c>
      <c r="F159" s="12">
        <f>IF(AND(D159&lt;&gt;"",E159&lt;&gt;""),D159*E159,"")</f>
        <v/>
      </c>
      <c r="G159" s="13" t="n"/>
      <c r="H159" s="13" t="n">
        <v>100</v>
      </c>
      <c r="I159" s="14" t="inlineStr">
        <is>
          <t>II- Machinery and Equipment</t>
        </is>
      </c>
      <c r="J159" s="9" t="inlineStr"/>
    </row>
    <row r="160">
      <c r="A160" s="8">
        <f>IF(AND(ISBLANK(B160),ISBLANK(C160),ISBLANK(D160),ISBLANK(E160),ISBLANK(G160),ISBLANK(H160),ISBLANK(J160)),"",ROW()-6)</f>
        <v/>
      </c>
      <c r="B160" s="9" t="inlineStr">
        <is>
          <t>Air Gun</t>
        </is>
      </c>
      <c r="C160" s="8" t="inlineStr">
        <is>
          <t>pcs</t>
        </is>
      </c>
      <c r="D160" s="10" t="n">
        <v>1</v>
      </c>
      <c r="E160" s="11" t="n">
        <v>28.57</v>
      </c>
      <c r="F160" s="12">
        <f>IF(AND(D160&lt;&gt;"",E160&lt;&gt;""),D160*E160,"")</f>
        <v/>
      </c>
      <c r="G160" s="13" t="n"/>
      <c r="H160" s="13" t="n">
        <v>100</v>
      </c>
      <c r="I160" s="14" t="inlineStr">
        <is>
          <t>II- Machinery and Equipment</t>
        </is>
      </c>
      <c r="J160" s="9" t="inlineStr"/>
    </row>
    <row r="161">
      <c r="A161" s="8">
        <f>IF(AND(ISBLANK(B161),ISBLANK(C161),ISBLANK(D161),ISBLANK(E161),ISBLANK(G161),ISBLANK(H161),ISBLANK(J161)),"",ROW()-6)</f>
        <v/>
      </c>
      <c r="B161" s="9" t="inlineStr">
        <is>
          <t>Small Trolley</t>
        </is>
      </c>
      <c r="C161" s="8" t="inlineStr">
        <is>
          <t>pcs</t>
        </is>
      </c>
      <c r="D161" s="10" t="n">
        <v>1</v>
      </c>
      <c r="E161" s="11" t="n">
        <v>7142.86</v>
      </c>
      <c r="F161" s="12">
        <f>IF(AND(D161&lt;&gt;"",E161&lt;&gt;""),D161*E161,"")</f>
        <v/>
      </c>
      <c r="G161" s="13" t="n"/>
      <c r="H161" s="13" t="n">
        <v>100</v>
      </c>
      <c r="I161" s="14" t="inlineStr">
        <is>
          <t>II- Machinery and Equipment</t>
        </is>
      </c>
      <c r="J161" s="9" t="inlineStr"/>
    </row>
    <row r="162">
      <c r="A162" s="8">
        <f>IF(AND(ISBLANK(B162),ISBLANK(C162),ISBLANK(D162),ISBLANK(E162),ISBLANK(G162),ISBLANK(H162),ISBLANK(J162)),"",ROW()-6)</f>
        <v/>
      </c>
      <c r="B162" s="9" t="inlineStr">
        <is>
          <t>Electric Lift Truck</t>
        </is>
      </c>
      <c r="C162" s="8" t="inlineStr">
        <is>
          <t>pcs</t>
        </is>
      </c>
      <c r="D162" s="10" t="n">
        <v>2</v>
      </c>
      <c r="E162" s="11" t="n">
        <v>71.43000000000001</v>
      </c>
      <c r="F162" s="12">
        <f>IF(AND(D162&lt;&gt;"",E162&lt;&gt;""),D162*E162,"")</f>
        <v/>
      </c>
      <c r="G162" s="13" t="n"/>
      <c r="H162" s="13" t="n">
        <v>100</v>
      </c>
      <c r="I162" s="14" t="inlineStr">
        <is>
          <t>II- Machinery and Equipment</t>
        </is>
      </c>
      <c r="J162" s="9" t="inlineStr"/>
    </row>
    <row r="163">
      <c r="A163" s="8">
        <f>IF(AND(ISBLANK(B163),ISBLANK(C163),ISBLANK(D163),ISBLANK(E163),ISBLANK(G163),ISBLANK(H163),ISBLANK(J163)),"",ROW()-6)</f>
        <v/>
      </c>
      <c r="B163" s="9" t="inlineStr">
        <is>
          <t>Cordless Drill</t>
        </is>
      </c>
      <c r="C163" s="8" t="inlineStr">
        <is>
          <t>pcs</t>
        </is>
      </c>
      <c r="D163" s="10" t="n">
        <v>2</v>
      </c>
      <c r="E163" s="11" t="n">
        <v>14.29</v>
      </c>
      <c r="F163" s="12">
        <f>IF(AND(D163&lt;&gt;"",E163&lt;&gt;""),D163*E163,"")</f>
        <v/>
      </c>
      <c r="G163" s="13" t="n"/>
      <c r="H163" s="13" t="n">
        <v>100</v>
      </c>
      <c r="I163" s="14" t="inlineStr">
        <is>
          <t>II- Machinery and Equipment</t>
        </is>
      </c>
      <c r="J163" s="9" t="inlineStr"/>
    </row>
    <row r="164">
      <c r="A164" s="8">
        <f>IF(AND(ISBLANK(B164),ISBLANK(C164),ISBLANK(D164),ISBLANK(E164),ISBLANK(G164),ISBLANK(H164),ISBLANK(J164)),"",ROW()-6)</f>
        <v/>
      </c>
      <c r="B164" s="9" t="inlineStr">
        <is>
          <t>Grease Gun</t>
        </is>
      </c>
      <c r="C164" s="8" t="inlineStr">
        <is>
          <t>pcs</t>
        </is>
      </c>
      <c r="D164" s="10" t="n">
        <v>1</v>
      </c>
      <c r="E164" s="11" t="n">
        <v>14.29</v>
      </c>
      <c r="F164" s="12">
        <f>IF(AND(D164&lt;&gt;"",E164&lt;&gt;""),D164*E164,"")</f>
        <v/>
      </c>
      <c r="G164" s="13" t="n"/>
      <c r="H164" s="13" t="n">
        <v>100</v>
      </c>
      <c r="I164" s="14" t="inlineStr">
        <is>
          <t>II- Machinery and Equipment</t>
        </is>
      </c>
      <c r="J164" s="9" t="inlineStr"/>
    </row>
    <row r="165">
      <c r="A165" s="8">
        <f>IF(AND(ISBLANK(B165),ISBLANK(C165),ISBLANK(D165),ISBLANK(E165),ISBLANK(G165),ISBLANK(H165),ISBLANK(J165)),"",ROW()-6)</f>
        <v/>
      </c>
      <c r="B165" s="9" t="inlineStr">
        <is>
          <t>Paint Spray Gun</t>
        </is>
      </c>
      <c r="C165" s="8" t="inlineStr">
        <is>
          <t>pcs</t>
        </is>
      </c>
      <c r="D165" s="10" t="n">
        <v>2</v>
      </c>
      <c r="E165" s="11" t="n">
        <v>7142.86</v>
      </c>
      <c r="F165" s="12">
        <f>IF(AND(D165&lt;&gt;"",E165&lt;&gt;""),D165*E165,"")</f>
        <v/>
      </c>
      <c r="G165" s="13" t="n"/>
      <c r="H165" s="13" t="n">
        <v>100</v>
      </c>
      <c r="I165" s="14" t="inlineStr">
        <is>
          <t>II- Machinery and Equipment</t>
        </is>
      </c>
      <c r="J165" s="9" t="inlineStr"/>
    </row>
    <row r="166">
      <c r="A166" s="8">
        <f>IF(AND(ISBLANK(B166),ISBLANK(C166),ISBLANK(D166),ISBLANK(E166),ISBLANK(G166),ISBLANK(H166),ISBLANK(J166)),"",ROW()-6)</f>
        <v/>
      </c>
      <c r="B166" s="9" t="inlineStr">
        <is>
          <t>Ring Binding Machine</t>
        </is>
      </c>
      <c r="C166" s="8" t="inlineStr">
        <is>
          <t>set</t>
        </is>
      </c>
      <c r="D166" s="10" t="n">
        <v>2</v>
      </c>
      <c r="E166" s="11" t="n">
        <v>285.71</v>
      </c>
      <c r="F166" s="12">
        <f>IF(AND(D166&lt;&gt;"",E166&lt;&gt;""),D166*E166,"")</f>
        <v/>
      </c>
      <c r="G166" s="13" t="n"/>
      <c r="H166" s="13" t="n">
        <v>100</v>
      </c>
      <c r="I166" s="14" t="inlineStr">
        <is>
          <t>II- Machinery and Equipment</t>
        </is>
      </c>
      <c r="J166" s="9" t="inlineStr"/>
    </row>
    <row r="167">
      <c r="A167" s="8">
        <f>IF(AND(ISBLANK(B167),ISBLANK(C167),ISBLANK(D167),ISBLANK(E167),ISBLANK(G167),ISBLANK(H167),ISBLANK(J167)),"",ROW()-6)</f>
        <v/>
      </c>
      <c r="B167" s="9" t="inlineStr">
        <is>
          <t>Transformer</t>
        </is>
      </c>
      <c r="C167" s="8" t="inlineStr">
        <is>
          <t>set</t>
        </is>
      </c>
      <c r="D167" s="10" t="n">
        <v>30</v>
      </c>
      <c r="E167" s="11" t="n">
        <v>35.71</v>
      </c>
      <c r="F167" s="12">
        <f>IF(AND(D167&lt;&gt;"",E167&lt;&gt;""),D167*E167,"")</f>
        <v/>
      </c>
      <c r="G167" s="13" t="n"/>
      <c r="H167" s="13" t="n">
        <v>100</v>
      </c>
      <c r="I167" s="14" t="inlineStr">
        <is>
          <t>II- Machinery and Equipment</t>
        </is>
      </c>
      <c r="J167" s="9" t="inlineStr"/>
    </row>
    <row r="168">
      <c r="A168" s="8">
        <f>IF(AND(ISBLANK(B168),ISBLANK(C168),ISBLANK(D168),ISBLANK(E168),ISBLANK(G168),ISBLANK(H168),ISBLANK(J168)),"",ROW()-6)</f>
        <v/>
      </c>
      <c r="B168" s="9" t="inlineStr">
        <is>
          <t>Workbench</t>
        </is>
      </c>
      <c r="C168" s="8" t="inlineStr">
        <is>
          <t>pcs</t>
        </is>
      </c>
      <c r="D168" s="10" t="n">
        <v>5000</v>
      </c>
      <c r="E168" s="11" t="n">
        <v>14.29</v>
      </c>
      <c r="F168" s="12">
        <f>IF(AND(D168&lt;&gt;"",E168&lt;&gt;""),D168*E168,"")</f>
        <v/>
      </c>
      <c r="G168" s="13" t="n"/>
      <c r="H168" s="13" t="n">
        <v>100</v>
      </c>
      <c r="I168" s="14" t="inlineStr">
        <is>
          <t>II- Machinery and Equipment</t>
        </is>
      </c>
      <c r="J168" s="9" t="inlineStr"/>
    </row>
    <row r="169">
      <c r="A169" s="8">
        <f>IF(AND(ISBLANK(B169),ISBLANK(C169),ISBLANK(D169),ISBLANK(E169),ISBLANK(G169),ISBLANK(H169),ISBLANK(J169)),"",ROW()-6)</f>
        <v/>
      </c>
      <c r="B169" s="9" t="inlineStr">
        <is>
          <t>Blue Large Glue Frame</t>
        </is>
      </c>
      <c r="C169" s="8" t="inlineStr">
        <is>
          <t>pcs</t>
        </is>
      </c>
      <c r="D169" s="10" t="n">
        <v>1000</v>
      </c>
      <c r="E169" s="11" t="n">
        <v>11.43</v>
      </c>
      <c r="F169" s="12">
        <f>IF(AND(D169&lt;&gt;"",E169&lt;&gt;""),D169*E169,"")</f>
        <v/>
      </c>
      <c r="G169" s="13" t="n"/>
      <c r="H169" s="13" t="n">
        <v>100</v>
      </c>
      <c r="I169" s="14" t="inlineStr">
        <is>
          <t>II- Machinery and Equipment</t>
        </is>
      </c>
      <c r="J169" s="9" t="inlineStr"/>
    </row>
    <row r="170">
      <c r="A170" s="8">
        <f>IF(AND(ISBLANK(B170),ISBLANK(C170),ISBLANK(D170),ISBLANK(E170),ISBLANK(G170),ISBLANK(H170),ISBLANK(J170)),"",ROW()-6)</f>
        <v/>
      </c>
      <c r="B170" s="9" t="inlineStr">
        <is>
          <t>Blue Small Glue Frame</t>
        </is>
      </c>
      <c r="C170" s="8" t="inlineStr">
        <is>
          <t>pcs</t>
        </is>
      </c>
      <c r="D170" s="10" t="n">
        <v>1000</v>
      </c>
      <c r="E170" s="11" t="n">
        <v>7.14</v>
      </c>
      <c r="F170" s="12">
        <f>IF(AND(D170&lt;&gt;"",E170&lt;&gt;""),D170*E170,"")</f>
        <v/>
      </c>
      <c r="G170" s="13" t="n"/>
      <c r="H170" s="13" t="n">
        <v>100</v>
      </c>
      <c r="I170" s="14" t="inlineStr">
        <is>
          <t>II- Machinery and Equipment</t>
        </is>
      </c>
      <c r="J170" s="9" t="inlineStr"/>
    </row>
    <row r="171">
      <c r="A171" s="8">
        <f>IF(AND(ISBLANK(B171),ISBLANK(C171),ISBLANK(D171),ISBLANK(E171),ISBLANK(G171),ISBLANK(H171),ISBLANK(J171)),"",ROW()-6)</f>
        <v/>
      </c>
      <c r="B171" s="9" t="inlineStr">
        <is>
          <t>Wooden Pallet</t>
        </is>
      </c>
      <c r="C171" s="8" t="inlineStr">
        <is>
          <t>pcs</t>
        </is>
      </c>
      <c r="D171" s="10" t="n">
        <v>1000</v>
      </c>
      <c r="E171" s="11" t="n">
        <v>28.57</v>
      </c>
      <c r="F171" s="12">
        <f>IF(AND(D171&lt;&gt;"",E171&lt;&gt;""),D171*E171,"")</f>
        <v/>
      </c>
      <c r="G171" s="13" t="n"/>
      <c r="H171" s="13" t="n">
        <v>100</v>
      </c>
      <c r="I171" s="14" t="inlineStr">
        <is>
          <t>II- Machinery and Equipment</t>
        </is>
      </c>
      <c r="J171" s="9" t="inlineStr"/>
    </row>
    <row r="172">
      <c r="A172" s="8">
        <f>IF(AND(ISBLANK(B172),ISBLANK(C172),ISBLANK(D172),ISBLANK(E172),ISBLANK(G172),ISBLANK(H172),ISBLANK(J172)),"",ROW()-6)</f>
        <v/>
      </c>
      <c r="B172" s="9" t="inlineStr">
        <is>
          <t>Plastic Pallet</t>
        </is>
      </c>
      <c r="C172" s="8" t="inlineStr">
        <is>
          <t>pcs</t>
        </is>
      </c>
      <c r="D172" s="10" t="n">
        <v>150</v>
      </c>
      <c r="E172" s="11" t="n">
        <v>71.43000000000001</v>
      </c>
      <c r="F172" s="12">
        <f>IF(AND(D172&lt;&gt;"",E172&lt;&gt;""),D172*E172,"")</f>
        <v/>
      </c>
      <c r="G172" s="13" t="n"/>
      <c r="H172" s="13" t="n">
        <v>100</v>
      </c>
      <c r="I172" s="14" t="inlineStr">
        <is>
          <t>II- Machinery and Equipment</t>
        </is>
      </c>
      <c r="J172" s="9" t="inlineStr"/>
    </row>
    <row r="173">
      <c r="A173" s="8">
        <f>IF(AND(ISBLANK(B173),ISBLANK(C173),ISBLANK(D173),ISBLANK(E173),ISBLANK(G173),ISBLANK(H173),ISBLANK(J173)),"",ROW()-6)</f>
        <v/>
      </c>
      <c r="B173" s="9" t="inlineStr">
        <is>
          <t>Iron Rack</t>
        </is>
      </c>
      <c r="C173" s="8" t="inlineStr">
        <is>
          <t>pcs</t>
        </is>
      </c>
      <c r="D173" s="10" t="n">
        <v>50</v>
      </c>
      <c r="E173" s="11" t="n">
        <v>285.71</v>
      </c>
      <c r="F173" s="12">
        <f>IF(AND(D173&lt;&gt;"",E173&lt;&gt;""),D173*E173,"")</f>
        <v/>
      </c>
      <c r="G173" s="13" t="n"/>
      <c r="H173" s="13" t="n">
        <v>100</v>
      </c>
      <c r="I173" s="14" t="inlineStr">
        <is>
          <t>II- Machinery and Equipment</t>
        </is>
      </c>
      <c r="J173" s="9" t="inlineStr"/>
    </row>
    <row r="174">
      <c r="A174" s="8">
        <f>IF(AND(ISBLANK(B174),ISBLANK(C174),ISBLANK(D174),ISBLANK(E174),ISBLANK(G174),ISBLANK(H174),ISBLANK(J174)),"",ROW()-6)</f>
        <v/>
      </c>
      <c r="B174" s="9" t="inlineStr">
        <is>
          <t>Factory Electric Cart</t>
        </is>
      </c>
      <c r="C174" s="8" t="inlineStr">
        <is>
          <t>pcs</t>
        </is>
      </c>
      <c r="D174" s="10" t="n">
        <v>1200</v>
      </c>
      <c r="E174" s="11" t="n">
        <v>7.14</v>
      </c>
      <c r="F174" s="12">
        <f>IF(AND(D174&lt;&gt;"",E174&lt;&gt;""),D174*E174,"")</f>
        <v/>
      </c>
      <c r="G174" s="13" t="n"/>
      <c r="H174" s="13" t="n">
        <v>100</v>
      </c>
      <c r="I174" s="14" t="inlineStr">
        <is>
          <t>II- Machinery and Equipment</t>
        </is>
      </c>
      <c r="J174" s="9" t="inlineStr"/>
    </row>
    <row r="175">
      <c r="A175" s="8">
        <f>IF(AND(ISBLANK(B175),ISBLANK(C175),ISBLANK(D175),ISBLANK(E175),ISBLANK(G175),ISBLANK(H175),ISBLANK(J175)),"",ROW()-6)</f>
        <v/>
      </c>
      <c r="B175" s="9" t="inlineStr">
        <is>
          <t>Pearl Cotton Board</t>
        </is>
      </c>
      <c r="C175" s="8" t="inlineStr">
        <is>
          <t>pcs</t>
        </is>
      </c>
      <c r="D175" s="10" t="n">
        <v>1</v>
      </c>
      <c r="E175" s="11" t="n">
        <v>88.45</v>
      </c>
      <c r="F175" s="12">
        <f>IF(AND(D175&lt;&gt;"",E175&lt;&gt;""),D175*E175,"")</f>
        <v/>
      </c>
      <c r="G175" s="13" t="n"/>
      <c r="H175" s="13" t="n">
        <v>100</v>
      </c>
      <c r="I175" s="14" t="inlineStr">
        <is>
          <t>II- Machinery and Equipment</t>
        </is>
      </c>
      <c r="J175" s="9" t="inlineStr"/>
    </row>
    <row r="176">
      <c r="A176" s="8">
        <f>IF(AND(ISBLANK(B176),ISBLANK(C176),ISBLANK(D176),ISBLANK(E176),ISBLANK(G176),ISBLANK(H176),ISBLANK(J176)),"",ROW()-6)</f>
        <v/>
      </c>
      <c r="B176" s="9" t="inlineStr">
        <is>
          <t>Foam Electric Heating Stick</t>
        </is>
      </c>
      <c r="C176" s="8" t="inlineStr">
        <is>
          <t>pcs</t>
        </is>
      </c>
      <c r="D176" s="10" t="n">
        <v>2</v>
      </c>
      <c r="E176" s="11" t="n">
        <v>120.66</v>
      </c>
      <c r="F176" s="12">
        <f>IF(AND(D176&lt;&gt;"",E176&lt;&gt;""),D176*E176,"")</f>
        <v/>
      </c>
      <c r="G176" s="13" t="n"/>
      <c r="H176" s="13" t="n">
        <v>100</v>
      </c>
      <c r="I176" s="14" t="inlineStr">
        <is>
          <t>II- Machinery and Equipment</t>
        </is>
      </c>
      <c r="J176" s="9" t="inlineStr"/>
    </row>
    <row r="177">
      <c r="A177" s="8">
        <f>IF(AND(ISBLANK(B177),ISBLANK(C177),ISBLANK(D177),ISBLANK(E177),ISBLANK(G177),ISBLANK(H177),ISBLANK(J177)),"",ROW()-6)</f>
        <v/>
      </c>
      <c r="B177" s="9" t="inlineStr">
        <is>
          <t>Plastering Trowel</t>
        </is>
      </c>
      <c r="C177" s="8" t="inlineStr">
        <is>
          <t>pcs</t>
        </is>
      </c>
      <c r="D177" s="10" t="n">
        <v>50</v>
      </c>
      <c r="E177" s="11" t="n">
        <v>142.86</v>
      </c>
      <c r="F177" s="12">
        <f>IF(AND(D177&lt;&gt;"",E177&lt;&gt;""),D177*E177,"")</f>
        <v/>
      </c>
      <c r="G177" s="13" t="n"/>
      <c r="H177" s="13" t="n">
        <v>100</v>
      </c>
      <c r="I177" s="14" t="inlineStr">
        <is>
          <t>II- Machinery and Equipment</t>
        </is>
      </c>
      <c r="J177" s="9" t="inlineStr"/>
    </row>
    <row r="178">
      <c r="A178" s="8">
        <f>IF(AND(ISBLANK(B178),ISBLANK(C178),ISBLANK(D178),ISBLANK(E178),ISBLANK(G178),ISBLANK(H178),ISBLANK(J178)),"",ROW()-6)</f>
        <v/>
      </c>
      <c r="B178" s="9" t="inlineStr">
        <is>
          <t>Electrical Box</t>
        </is>
      </c>
      <c r="C178" s="8" t="inlineStr">
        <is>
          <t>pcs</t>
        </is>
      </c>
      <c r="D178" s="10" t="n">
        <v>50</v>
      </c>
      <c r="E178" s="11" t="n">
        <v>28.57</v>
      </c>
      <c r="F178" s="12">
        <f>IF(AND(D178&lt;&gt;"",E178&lt;&gt;""),D178*E178,"")</f>
        <v/>
      </c>
      <c r="G178" s="13" t="n"/>
      <c r="H178" s="13" t="n">
        <v>100</v>
      </c>
      <c r="I178" s="14" t="inlineStr">
        <is>
          <t>II- Machinery and Equipment</t>
        </is>
      </c>
      <c r="J178" s="9" t="inlineStr"/>
    </row>
    <row r="179">
      <c r="A179" s="8">
        <f>IF(AND(ISBLANK(B179),ISBLANK(C179),ISBLANK(D179),ISBLANK(E179),ISBLANK(G179),ISBLANK(H179),ISBLANK(J179)),"",ROW()-6)</f>
        <v/>
      </c>
      <c r="B179" s="9" t="inlineStr">
        <is>
          <t>Air Circuit Breaker</t>
        </is>
      </c>
      <c r="C179" s="8" t="inlineStr">
        <is>
          <t>pcs</t>
        </is>
      </c>
      <c r="D179" s="10" t="n">
        <v>50</v>
      </c>
      <c r="E179" s="11" t="n">
        <v>28.57</v>
      </c>
      <c r="F179" s="12">
        <f>IF(AND(D179&lt;&gt;"",E179&lt;&gt;""),D179*E179,"")</f>
        <v/>
      </c>
      <c r="G179" s="13" t="n"/>
      <c r="H179" s="13" t="n">
        <v>100</v>
      </c>
      <c r="I179" s="14" t="inlineStr">
        <is>
          <t>II- Machinery and Equipment</t>
        </is>
      </c>
      <c r="J179" s="9" t="inlineStr"/>
    </row>
    <row r="180">
      <c r="A180" s="8">
        <f>IF(AND(ISBLANK(B180),ISBLANK(C180),ISBLANK(D180),ISBLANK(E180),ISBLANK(G180),ISBLANK(H180),ISBLANK(J180)),"",ROW()-6)</f>
        <v/>
      </c>
      <c r="B180" s="9" t="inlineStr">
        <is>
          <t>Leakage Circuit Breaker</t>
        </is>
      </c>
      <c r="C180" s="8" t="inlineStr">
        <is>
          <t>pcs</t>
        </is>
      </c>
      <c r="D180" s="10" t="n">
        <v>200</v>
      </c>
      <c r="E180" s="11" t="n">
        <v>0.71</v>
      </c>
      <c r="F180" s="12">
        <f>IF(AND(D180&lt;&gt;"",E180&lt;&gt;""),D180*E180,"")</f>
        <v/>
      </c>
      <c r="G180" s="13" t="n"/>
      <c r="H180" s="13" t="n">
        <v>100</v>
      </c>
      <c r="I180" s="14" t="inlineStr">
        <is>
          <t>II- Machinery and Equipment</t>
        </is>
      </c>
      <c r="J180" s="9" t="inlineStr"/>
    </row>
    <row r="181">
      <c r="A181" s="8">
        <f>IF(AND(ISBLANK(B181),ISBLANK(C181),ISBLANK(D181),ISBLANK(E181),ISBLANK(G181),ISBLANK(H181),ISBLANK(J181)),"",ROW()-6)</f>
        <v/>
      </c>
      <c r="B181" s="9" t="inlineStr">
        <is>
          <t>Insulation Tape</t>
        </is>
      </c>
      <c r="C181" s="8" t="inlineStr">
        <is>
          <t>pcs</t>
        </is>
      </c>
      <c r="D181" s="10" t="n">
        <v>1000</v>
      </c>
      <c r="E181" s="11" t="n">
        <v>2.14</v>
      </c>
      <c r="F181" s="12">
        <f>IF(AND(D181&lt;&gt;"",E181&lt;&gt;""),D181*E181,"")</f>
        <v/>
      </c>
      <c r="G181" s="13" t="n"/>
      <c r="H181" s="13" t="n">
        <v>100</v>
      </c>
      <c r="I181" s="14" t="inlineStr">
        <is>
          <t>II- Machinery and Equipment</t>
        </is>
      </c>
      <c r="J181" s="9" t="inlineStr"/>
    </row>
    <row r="182">
      <c r="A182" s="8">
        <f>IF(AND(ISBLANK(B182),ISBLANK(C182),ISBLANK(D182),ISBLANK(E182),ISBLANK(G182),ISBLANK(H182),ISBLANK(J182)),"",ROW()-6)</f>
        <v/>
      </c>
      <c r="B182" s="9" t="inlineStr">
        <is>
          <t>Wire Terminals</t>
        </is>
      </c>
      <c r="C182" s="8" t="inlineStr">
        <is>
          <t>pcs</t>
        </is>
      </c>
      <c r="D182" s="10" t="n">
        <v>500</v>
      </c>
      <c r="E182" s="11" t="n">
        <v>1.43</v>
      </c>
      <c r="F182" s="12">
        <f>IF(AND(D182&lt;&gt;"",E182&lt;&gt;""),D182*E182,"")</f>
        <v/>
      </c>
      <c r="G182" s="13" t="n"/>
      <c r="H182" s="13" t="n">
        <v>100</v>
      </c>
      <c r="I182" s="14" t="inlineStr">
        <is>
          <t>II- Machinery and Equipment</t>
        </is>
      </c>
      <c r="J182" s="9" t="inlineStr"/>
    </row>
    <row r="183">
      <c r="A183" s="8">
        <f>IF(AND(ISBLANK(B183),ISBLANK(C183),ISBLANK(D183),ISBLANK(E183),ISBLANK(G183),ISBLANK(H183),ISBLANK(J183)),"",ROW()-6)</f>
        <v/>
      </c>
      <c r="B183" s="9" t="inlineStr">
        <is>
          <t>Eight-Hole Socket</t>
        </is>
      </c>
      <c r="C183" s="8" t="inlineStr">
        <is>
          <t>m</t>
        </is>
      </c>
      <c r="D183" s="10" t="n">
        <v>7000</v>
      </c>
      <c r="E183" s="11" t="n">
        <v>15.71</v>
      </c>
      <c r="F183" s="12">
        <f>IF(AND(D183&lt;&gt;"",E183&lt;&gt;""),D183*E183,"")</f>
        <v/>
      </c>
      <c r="G183" s="13" t="n"/>
      <c r="H183" s="13" t="n">
        <v>100</v>
      </c>
      <c r="I183" s="14" t="inlineStr">
        <is>
          <t>II- Machinery and Equipment</t>
        </is>
      </c>
      <c r="J183" s="9" t="inlineStr"/>
    </row>
    <row r="184">
      <c r="A184" s="8">
        <f>IF(AND(ISBLANK(B184),ISBLANK(C184),ISBLANK(D184),ISBLANK(E184),ISBLANK(G184),ISBLANK(H184),ISBLANK(J184)),"",ROW()-6)</f>
        <v/>
      </c>
      <c r="B184" s="9" t="inlineStr">
        <is>
          <t>Copper Wire 1.5mm</t>
        </is>
      </c>
      <c r="C184" s="8" t="inlineStr">
        <is>
          <t>m</t>
        </is>
      </c>
      <c r="D184" s="10" t="n">
        <v>7000</v>
      </c>
      <c r="E184" s="11" t="n">
        <v>25.71</v>
      </c>
      <c r="F184" s="12">
        <f>IF(AND(D184&lt;&gt;"",E184&lt;&gt;""),D184*E184,"")</f>
        <v/>
      </c>
      <c r="G184" s="13" t="n"/>
      <c r="H184" s="13" t="n">
        <v>100</v>
      </c>
      <c r="I184" s="14" t="inlineStr">
        <is>
          <t>II- Machinery and Equipment</t>
        </is>
      </c>
      <c r="J184" s="9" t="inlineStr"/>
    </row>
    <row r="185">
      <c r="A185" s="8">
        <f>IF(AND(ISBLANK(B185),ISBLANK(C185),ISBLANK(D185),ISBLANK(E185),ISBLANK(G185),ISBLANK(H185),ISBLANK(J185)),"",ROW()-6)</f>
        <v/>
      </c>
      <c r="B185" s="9" t="inlineStr">
        <is>
          <t>Copper Wire 2.5mm</t>
        </is>
      </c>
      <c r="C185" s="8" t="inlineStr">
        <is>
          <t>m</t>
        </is>
      </c>
      <c r="D185" s="10" t="n">
        <v>7000</v>
      </c>
      <c r="E185" s="11" t="n">
        <v>40.71</v>
      </c>
      <c r="F185" s="12">
        <f>IF(AND(D185&lt;&gt;"",E185&lt;&gt;""),D185*E185,"")</f>
        <v/>
      </c>
      <c r="G185" s="13" t="n"/>
      <c r="H185" s="13" t="n">
        <v>100</v>
      </c>
      <c r="I185" s="14" t="inlineStr">
        <is>
          <t>II- Machinery and Equipment</t>
        </is>
      </c>
      <c r="J185" s="9" t="inlineStr"/>
    </row>
    <row r="186">
      <c r="A186" s="8">
        <f>IF(AND(ISBLANK(B186),ISBLANK(C186),ISBLANK(D186),ISBLANK(E186),ISBLANK(G186),ISBLANK(H186),ISBLANK(J186)),"",ROW()-6)</f>
        <v/>
      </c>
      <c r="B186" s="9" t="inlineStr">
        <is>
          <t>Copper Wire 4mm</t>
        </is>
      </c>
      <c r="C186" s="8" t="inlineStr">
        <is>
          <t>m</t>
        </is>
      </c>
      <c r="D186" s="10" t="n">
        <v>700</v>
      </c>
      <c r="E186" s="11" t="n">
        <v>60</v>
      </c>
      <c r="F186" s="12">
        <f>IF(AND(D186&lt;&gt;"",E186&lt;&gt;""),D186*E186,"")</f>
        <v/>
      </c>
      <c r="G186" s="13" t="n"/>
      <c r="H186" s="13" t="n">
        <v>100</v>
      </c>
      <c r="I186" s="14" t="inlineStr">
        <is>
          <t>II- Machinery and Equipment</t>
        </is>
      </c>
      <c r="J186" s="9" t="inlineStr"/>
    </row>
    <row r="187">
      <c r="A187" s="8">
        <f>IF(AND(ISBLANK(B187),ISBLANK(C187),ISBLANK(D187),ISBLANK(E187),ISBLANK(G187),ISBLANK(H187),ISBLANK(J187)),"",ROW()-6)</f>
        <v/>
      </c>
      <c r="B187" s="9" t="inlineStr">
        <is>
          <t>Copper Wire 6mm</t>
        </is>
      </c>
      <c r="C187" s="8" t="inlineStr">
        <is>
          <t>m</t>
        </is>
      </c>
      <c r="D187" s="10" t="n">
        <v>700</v>
      </c>
      <c r="E187" s="11" t="n">
        <v>107.14</v>
      </c>
      <c r="F187" s="12">
        <f>IF(AND(D187&lt;&gt;"",E187&lt;&gt;""),D187*E187,"")</f>
        <v/>
      </c>
      <c r="G187" s="13" t="n"/>
      <c r="H187" s="13" t="n">
        <v>100</v>
      </c>
      <c r="I187" s="14" t="inlineStr">
        <is>
          <t>II- Machinery and Equipment</t>
        </is>
      </c>
      <c r="J187" s="9" t="inlineStr"/>
    </row>
    <row r="188">
      <c r="A188" s="8">
        <f>IF(AND(ISBLANK(B188),ISBLANK(C188),ISBLANK(D188),ISBLANK(E188),ISBLANK(G188),ISBLANK(H188),ISBLANK(J188)),"",ROW()-6)</f>
        <v/>
      </c>
      <c r="B188" s="9" t="inlineStr">
        <is>
          <t>Copper Wire 10mm</t>
        </is>
      </c>
      <c r="C188" s="8" t="inlineStr">
        <is>
          <t>m</t>
        </is>
      </c>
      <c r="D188" s="10" t="n">
        <v>700</v>
      </c>
      <c r="E188" s="11" t="n">
        <v>164.29</v>
      </c>
      <c r="F188" s="12">
        <f>IF(AND(D188&lt;&gt;"",E188&lt;&gt;""),D188*E188,"")</f>
        <v/>
      </c>
      <c r="G188" s="13" t="n"/>
      <c r="H188" s="13" t="n">
        <v>100</v>
      </c>
      <c r="I188" s="14" t="inlineStr">
        <is>
          <t>II- Machinery and Equipment</t>
        </is>
      </c>
      <c r="J188" s="9" t="inlineStr"/>
    </row>
    <row r="189">
      <c r="A189" s="8">
        <f>IF(AND(ISBLANK(B189),ISBLANK(C189),ISBLANK(D189),ISBLANK(E189),ISBLANK(G189),ISBLANK(H189),ISBLANK(J189)),"",ROW()-6)</f>
        <v/>
      </c>
      <c r="B189" s="9" t="inlineStr">
        <is>
          <t>Copper Wire 16mm</t>
        </is>
      </c>
      <c r="C189" s="8" t="inlineStr">
        <is>
          <t>m</t>
        </is>
      </c>
      <c r="D189" s="10" t="n">
        <v>700</v>
      </c>
      <c r="E189" s="11" t="n">
        <v>257.14</v>
      </c>
      <c r="F189" s="12">
        <f>IF(AND(D189&lt;&gt;"",E189&lt;&gt;""),D189*E189,"")</f>
        <v/>
      </c>
      <c r="G189" s="13" t="n"/>
      <c r="H189" s="13" t="n">
        <v>100</v>
      </c>
      <c r="I189" s="14" t="inlineStr">
        <is>
          <t>II- Machinery and Equipment</t>
        </is>
      </c>
      <c r="J189" s="9" t="inlineStr"/>
    </row>
    <row r="190">
      <c r="A190" s="8">
        <f>IF(AND(ISBLANK(B190),ISBLANK(C190),ISBLANK(D190),ISBLANK(E190),ISBLANK(G190),ISBLANK(H190),ISBLANK(J190)),"",ROW()-6)</f>
        <v/>
      </c>
      <c r="B190" s="9" t="inlineStr">
        <is>
          <t>Copper Wire 25mm</t>
        </is>
      </c>
      <c r="C190" s="8" t="inlineStr">
        <is>
          <t>m</t>
        </is>
      </c>
      <c r="D190" s="10" t="n">
        <v>700</v>
      </c>
      <c r="E190" s="11" t="n">
        <v>357.14</v>
      </c>
      <c r="F190" s="12">
        <f>IF(AND(D190&lt;&gt;"",E190&lt;&gt;""),D190*E190,"")</f>
        <v/>
      </c>
      <c r="G190" s="13" t="n"/>
      <c r="H190" s="13" t="n">
        <v>100</v>
      </c>
      <c r="I190" s="14" t="inlineStr">
        <is>
          <t>II- Machinery and Equipment</t>
        </is>
      </c>
      <c r="J190" s="9" t="inlineStr"/>
    </row>
    <row r="191">
      <c r="A191" s="8">
        <f>IF(AND(ISBLANK(B191),ISBLANK(C191),ISBLANK(D191),ISBLANK(E191),ISBLANK(G191),ISBLANK(H191),ISBLANK(J191)),"",ROW()-6)</f>
        <v/>
      </c>
      <c r="B191" s="9" t="inlineStr">
        <is>
          <t>Copper Wire 35mm</t>
        </is>
      </c>
      <c r="C191" s="8" t="inlineStr">
        <is>
          <t>m</t>
        </is>
      </c>
      <c r="D191" s="10" t="n">
        <v>700</v>
      </c>
      <c r="E191" s="11" t="n">
        <v>514.29</v>
      </c>
      <c r="F191" s="12">
        <f>IF(AND(D191&lt;&gt;"",E191&lt;&gt;""),D191*E191,"")</f>
        <v/>
      </c>
      <c r="G191" s="13" t="n"/>
      <c r="H191" s="13" t="n">
        <v>100</v>
      </c>
      <c r="I191" s="14" t="inlineStr">
        <is>
          <t>II- Machinery and Equipment</t>
        </is>
      </c>
      <c r="J191" s="9" t="inlineStr"/>
    </row>
    <row r="192">
      <c r="A192" s="8">
        <f>IF(AND(ISBLANK(B192),ISBLANK(C192),ISBLANK(D192),ISBLANK(E192),ISBLANK(G192),ISBLANK(H192),ISBLANK(J192)),"",ROW()-6)</f>
        <v/>
      </c>
      <c r="B192" s="9" t="inlineStr">
        <is>
          <t>Copper Wire 50mm</t>
        </is>
      </c>
      <c r="C192" s="8" t="inlineStr">
        <is>
          <t>m</t>
        </is>
      </c>
      <c r="D192" s="10" t="n">
        <v>700</v>
      </c>
      <c r="E192" s="11" t="n">
        <v>735.71</v>
      </c>
      <c r="F192" s="12">
        <f>IF(AND(D192&lt;&gt;"",E192&lt;&gt;""),D192*E192,"")</f>
        <v/>
      </c>
      <c r="G192" s="13" t="n"/>
      <c r="H192" s="13" t="n">
        <v>100</v>
      </c>
      <c r="I192" s="14" t="inlineStr">
        <is>
          <t>II- Machinery and Equipment</t>
        </is>
      </c>
      <c r="J192" s="9" t="inlineStr"/>
    </row>
    <row r="193">
      <c r="A193" s="8">
        <f>IF(AND(ISBLANK(B193),ISBLANK(C193),ISBLANK(D193),ISBLANK(E193),ISBLANK(G193),ISBLANK(H193),ISBLANK(J193)),"",ROW()-6)</f>
        <v/>
      </c>
      <c r="B193" s="9" t="inlineStr">
        <is>
          <t>Copper Wire 70mm</t>
        </is>
      </c>
      <c r="C193" s="8" t="inlineStr">
        <is>
          <t>m</t>
        </is>
      </c>
      <c r="D193" s="10" t="n">
        <v>500</v>
      </c>
      <c r="E193" s="11" t="n">
        <v>1000</v>
      </c>
      <c r="F193" s="12">
        <f>IF(AND(D193&lt;&gt;"",E193&lt;&gt;""),D193*E193,"")</f>
        <v/>
      </c>
      <c r="G193" s="13" t="n"/>
      <c r="H193" s="13" t="n">
        <v>100</v>
      </c>
      <c r="I193" s="14" t="inlineStr">
        <is>
          <t>II- Machinery and Equipment</t>
        </is>
      </c>
      <c r="J193" s="9" t="inlineStr"/>
    </row>
    <row r="194">
      <c r="A194" s="8">
        <f>IF(AND(ISBLANK(B194),ISBLANK(C194),ISBLANK(D194),ISBLANK(E194),ISBLANK(G194),ISBLANK(H194),ISBLANK(J194)),"",ROW()-6)</f>
        <v/>
      </c>
      <c r="B194" s="9" t="inlineStr">
        <is>
          <t>Copper Wire 95mm</t>
        </is>
      </c>
      <c r="C194" s="8" t="inlineStr">
        <is>
          <t>m</t>
        </is>
      </c>
      <c r="D194" s="10" t="n">
        <v>200</v>
      </c>
      <c r="E194" s="11" t="n">
        <v>1257.14</v>
      </c>
      <c r="F194" s="12">
        <f>IF(AND(D194&lt;&gt;"",E194&lt;&gt;""),D194*E194,"")</f>
        <v/>
      </c>
      <c r="G194" s="13" t="n"/>
      <c r="H194" s="13" t="n">
        <v>100</v>
      </c>
      <c r="I194" s="14" t="inlineStr">
        <is>
          <t>II- Machinery and Equipment</t>
        </is>
      </c>
      <c r="J194" s="9" t="inlineStr"/>
    </row>
    <row r="195">
      <c r="A195" s="8">
        <f>IF(AND(ISBLANK(B195),ISBLANK(C195),ISBLANK(D195),ISBLANK(E195),ISBLANK(G195),ISBLANK(H195),ISBLANK(J195)),"",ROW()-6)</f>
        <v/>
      </c>
      <c r="B195" s="9" t="inlineStr">
        <is>
          <t>Copper Wire 120mm</t>
        </is>
      </c>
      <c r="C195" s="8" t="inlineStr">
        <is>
          <t>m</t>
        </is>
      </c>
      <c r="D195" s="10" t="n">
        <v>200</v>
      </c>
      <c r="E195" s="11" t="n">
        <v>1564.29</v>
      </c>
      <c r="F195" s="12">
        <f>IF(AND(D195&lt;&gt;"",E195&lt;&gt;""),D195*E195,"")</f>
        <v/>
      </c>
      <c r="G195" s="13" t="n"/>
      <c r="H195" s="13" t="n">
        <v>100</v>
      </c>
      <c r="I195" s="14" t="inlineStr">
        <is>
          <t>II- Machinery and Equipment</t>
        </is>
      </c>
      <c r="J195" s="9" t="inlineStr"/>
    </row>
    <row r="196">
      <c r="A196" s="8">
        <f>IF(AND(ISBLANK(B196),ISBLANK(C196),ISBLANK(D196),ISBLANK(E196),ISBLANK(G196),ISBLANK(H196),ISBLANK(J196)),"",ROW()-6)</f>
        <v/>
      </c>
      <c r="B196" s="9" t="inlineStr">
        <is>
          <t>Copper Wire 150mm</t>
        </is>
      </c>
      <c r="C196" s="8" t="inlineStr">
        <is>
          <t>m</t>
        </is>
      </c>
      <c r="D196" s="10" t="n">
        <v>200</v>
      </c>
      <c r="E196" s="11" t="n">
        <v>1695.71</v>
      </c>
      <c r="F196" s="12">
        <f>IF(AND(D196&lt;&gt;"",E196&lt;&gt;""),D196*E196,"")</f>
        <v/>
      </c>
      <c r="G196" s="13" t="n"/>
      <c r="H196" s="13" t="n">
        <v>100</v>
      </c>
      <c r="I196" s="14" t="inlineStr">
        <is>
          <t>II- Machinery and Equipment</t>
        </is>
      </c>
      <c r="J196" s="9" t="inlineStr"/>
    </row>
    <row r="197">
      <c r="A197" s="8">
        <f>IF(AND(ISBLANK(B197),ISBLANK(C197),ISBLANK(D197),ISBLANK(E197),ISBLANK(G197),ISBLANK(H197),ISBLANK(J197)),"",ROW()-6)</f>
        <v/>
      </c>
      <c r="B197" s="9" t="inlineStr">
        <is>
          <t>Copper Wire 185mm</t>
        </is>
      </c>
      <c r="C197" s="8" t="inlineStr">
        <is>
          <t>m</t>
        </is>
      </c>
      <c r="D197" s="10" t="n">
        <v>200</v>
      </c>
      <c r="E197" s="11" t="n">
        <v>2571.43</v>
      </c>
      <c r="F197" s="12">
        <f>IF(AND(D197&lt;&gt;"",E197&lt;&gt;""),D197*E197,"")</f>
        <v/>
      </c>
      <c r="G197" s="13" t="n"/>
      <c r="H197" s="13" t="n">
        <v>100</v>
      </c>
      <c r="I197" s="14" t="inlineStr">
        <is>
          <t>II- Machinery and Equipment</t>
        </is>
      </c>
      <c r="J197" s="9" t="inlineStr"/>
    </row>
    <row r="198">
      <c r="A198" s="8">
        <f>IF(AND(ISBLANK(B198),ISBLANK(C198),ISBLANK(D198),ISBLANK(E198),ISBLANK(G198),ISBLANK(H198),ISBLANK(J198)),"",ROW()-6)</f>
        <v/>
      </c>
      <c r="B198" s="9" t="inlineStr">
        <is>
          <t>Copper Wire 240mm</t>
        </is>
      </c>
      <c r="C198" s="8" t="inlineStr">
        <is>
          <t>tons</t>
        </is>
      </c>
      <c r="D198" s="10" t="n">
        <v>40</v>
      </c>
      <c r="E198" s="11" t="n">
        <v>657</v>
      </c>
      <c r="F198" s="12">
        <f>IF(AND(D198&lt;&gt;"",E198&lt;&gt;""),D198*E198,"")</f>
        <v/>
      </c>
      <c r="G198" s="13" t="n"/>
      <c r="H198" s="13" t="n">
        <v>100</v>
      </c>
      <c r="I198" s="14" t="inlineStr">
        <is>
          <t>II- Machinery and Equipment</t>
        </is>
      </c>
      <c r="J198" s="9" t="inlineStr"/>
    </row>
    <row r="199">
      <c r="A199" s="8">
        <f>IF(AND(ISBLANK(B199),ISBLANK(C199),ISBLANK(D199),ISBLANK(E199),ISBLANK(G199),ISBLANK(H199),ISBLANK(J199)),"",ROW()-6)</f>
        <v/>
      </c>
      <c r="B199" s="9" t="inlineStr">
        <is>
          <t>2.5mm Iron Wire</t>
        </is>
      </c>
      <c r="C199" s="8" t="inlineStr">
        <is>
          <t>tons</t>
        </is>
      </c>
      <c r="D199" s="10" t="n">
        <v>2</v>
      </c>
      <c r="E199" s="11" t="n">
        <v>657.14</v>
      </c>
      <c r="F199" s="12">
        <f>IF(AND(D199&lt;&gt;"",E199&lt;&gt;""),D199*E199,"")</f>
        <v/>
      </c>
      <c r="G199" s="13" t="n"/>
      <c r="H199" s="13" t="n">
        <v>100</v>
      </c>
      <c r="I199" s="14" t="inlineStr">
        <is>
          <t>II- Machinery and Equipment</t>
        </is>
      </c>
      <c r="J199" s="9" t="inlineStr"/>
    </row>
    <row r="200">
      <c r="A200" s="8">
        <f>IF(AND(ISBLANK(B200),ISBLANK(C200),ISBLANK(D200),ISBLANK(E200),ISBLANK(G200),ISBLANK(H200),ISBLANK(J200)),"",ROW()-6)</f>
        <v/>
      </c>
      <c r="B200" s="9" t="inlineStr">
        <is>
          <t>2.7mm Iron Wire</t>
        </is>
      </c>
      <c r="C200" s="8" t="inlineStr">
        <is>
          <t>tons</t>
        </is>
      </c>
      <c r="D200" s="10" t="n">
        <v>150</v>
      </c>
      <c r="E200" s="11" t="n">
        <v>657.14</v>
      </c>
      <c r="F200" s="12">
        <f>IF(AND(D200&lt;&gt;"",E200&lt;&gt;""),D200*E200,"")</f>
        <v/>
      </c>
      <c r="G200" s="13" t="n"/>
      <c r="H200" s="13" t="n">
        <v>100</v>
      </c>
      <c r="I200" s="14" t="inlineStr">
        <is>
          <t>II- Machinery and Equipment</t>
        </is>
      </c>
      <c r="J200" s="9" t="inlineStr"/>
    </row>
    <row r="201">
      <c r="A201" s="8">
        <f>IF(AND(ISBLANK(B201),ISBLANK(C201),ISBLANK(D201),ISBLANK(E201),ISBLANK(G201),ISBLANK(H201),ISBLANK(J201)),"",ROW()-6)</f>
        <v/>
      </c>
      <c r="B201" s="9" t="inlineStr">
        <is>
          <t>3.5mm Iron Wire</t>
        </is>
      </c>
      <c r="C201" s="8" t="inlineStr">
        <is>
          <t>tons</t>
        </is>
      </c>
      <c r="D201" s="10" t="n">
        <v>90</v>
      </c>
      <c r="E201" s="11" t="n">
        <v>814.2900000000001</v>
      </c>
      <c r="F201" s="12">
        <f>IF(AND(D201&lt;&gt;"",E201&lt;&gt;""),D201*E201,"")</f>
        <v/>
      </c>
      <c r="G201" s="13" t="n"/>
      <c r="H201" s="13" t="n">
        <v>100</v>
      </c>
      <c r="I201" s="14" t="inlineStr">
        <is>
          <t>II- Machinery and Equipment</t>
        </is>
      </c>
      <c r="J201" s="9" t="inlineStr"/>
    </row>
    <row r="202">
      <c r="A202" s="8">
        <f>IF(AND(ISBLANK(B202),ISBLANK(C202),ISBLANK(D202),ISBLANK(E202),ISBLANK(G202),ISBLANK(H202),ISBLANK(J202)),"",ROW()-6)</f>
        <v/>
      </c>
      <c r="B202" s="9" t="inlineStr">
        <is>
          <t>1.0mm Spun Iron Sheet</t>
        </is>
      </c>
      <c r="C202" s="8" t="inlineStr">
        <is>
          <t>tons</t>
        </is>
      </c>
      <c r="D202" s="10" t="n">
        <v>30</v>
      </c>
      <c r="E202" s="11" t="n">
        <v>814.2900000000001</v>
      </c>
      <c r="F202" s="12">
        <f>IF(AND(D202&lt;&gt;"",E202&lt;&gt;""),D202*E202,"")</f>
        <v/>
      </c>
      <c r="G202" s="13" t="n"/>
      <c r="H202" s="13" t="n">
        <v>100</v>
      </c>
      <c r="I202" s="14" t="inlineStr">
        <is>
          <t>II- Machinery and Equipment</t>
        </is>
      </c>
      <c r="J202" s="9" t="inlineStr"/>
    </row>
    <row r="203">
      <c r="A203" s="8">
        <f>IF(AND(ISBLANK(B203),ISBLANK(C203),ISBLANK(D203),ISBLANK(E203),ISBLANK(G203),ISBLANK(H203),ISBLANK(J203)),"",ROW()-6)</f>
        <v/>
      </c>
      <c r="B203" s="9" t="inlineStr">
        <is>
          <t>0.8mm Iron Sheet</t>
        </is>
      </c>
      <c r="C203" s="8" t="inlineStr">
        <is>
          <t>tons</t>
        </is>
      </c>
      <c r="D203" s="10" t="n">
        <v>5</v>
      </c>
      <c r="E203" s="11" t="n">
        <v>2571.426</v>
      </c>
      <c r="F203" s="12">
        <f>IF(AND(D203&lt;&gt;"",E203&lt;&gt;""),D203*E203,"")</f>
        <v/>
      </c>
      <c r="G203" s="13" t="n"/>
      <c r="H203" s="13" t="n">
        <v>100</v>
      </c>
      <c r="I203" s="14" t="inlineStr">
        <is>
          <t>II- Machinery and Equipment</t>
        </is>
      </c>
      <c r="J203" s="9" t="inlineStr"/>
    </row>
    <row r="204">
      <c r="A204" s="8">
        <f>IF(AND(ISBLANK(B204),ISBLANK(C204),ISBLANK(D204),ISBLANK(E204),ISBLANK(G204),ISBLANK(H204),ISBLANK(J204)),"",ROW()-6)</f>
        <v/>
      </c>
      <c r="B204" s="9" t="inlineStr">
        <is>
          <t>8x30 Stainless Steel Screws</t>
        </is>
      </c>
      <c r="C204" s="8" t="inlineStr">
        <is>
          <t>tons</t>
        </is>
      </c>
      <c r="D204" s="10" t="n">
        <v>66</v>
      </c>
      <c r="E204" s="11" t="n">
        <v>685.71</v>
      </c>
      <c r="F204" s="12">
        <f>IF(AND(D204&lt;&gt;"",E204&lt;&gt;""),D204*E204,"")</f>
        <v/>
      </c>
      <c r="G204" s="13" t="n"/>
      <c r="H204" s="13" t="n">
        <v>100</v>
      </c>
      <c r="I204" s="14" t="inlineStr">
        <is>
          <t>II- Machinery and Equipment</t>
        </is>
      </c>
      <c r="J204" s="9" t="inlineStr"/>
    </row>
    <row r="205">
      <c r="A205" s="8">
        <f>IF(AND(ISBLANK(B205),ISBLANK(C205),ISBLANK(D205),ISBLANK(E205),ISBLANK(G205),ISBLANK(H205),ISBLANK(J205)),"",ROW()-6)</f>
        <v/>
      </c>
      <c r="B205" s="9" t="inlineStr">
        <is>
          <t>2.0mm Iron Plate</t>
        </is>
      </c>
      <c r="C205" s="8" t="inlineStr">
        <is>
          <t>tons</t>
        </is>
      </c>
      <c r="D205" s="10" t="n">
        <v>150</v>
      </c>
      <c r="E205" s="11" t="n">
        <v>757.14</v>
      </c>
      <c r="F205" s="12">
        <f>IF(AND(D205&lt;&gt;"",E205&lt;&gt;""),D205*E205,"")</f>
        <v/>
      </c>
      <c r="G205" s="13" t="n"/>
      <c r="H205" s="13" t="n">
        <v>100</v>
      </c>
      <c r="I205" s="14" t="inlineStr">
        <is>
          <t>II- Machinery and Equipment</t>
        </is>
      </c>
      <c r="J205" s="9" t="inlineStr"/>
    </row>
    <row r="206">
      <c r="A206" s="8">
        <f>IF(AND(ISBLANK(B206),ISBLANK(C206),ISBLANK(D206),ISBLANK(E206),ISBLANK(G206),ISBLANK(H206),ISBLANK(J206)),"",ROW()-6)</f>
        <v/>
      </c>
      <c r="B206" s="9" t="inlineStr">
        <is>
          <t>80x7-Inch Pipe</t>
        </is>
      </c>
      <c r="C206" s="8" t="inlineStr">
        <is>
          <t>tons</t>
        </is>
      </c>
      <c r="D206" s="10" t="n">
        <v>68</v>
      </c>
      <c r="E206" s="11" t="n">
        <v>757.14</v>
      </c>
      <c r="F206" s="12">
        <f>IF(AND(D206&lt;&gt;"",E206&lt;&gt;""),D206*E206,"")</f>
        <v/>
      </c>
      <c r="G206" s="13" t="n"/>
      <c r="H206" s="13" t="n">
        <v>100</v>
      </c>
      <c r="I206" s="14" t="inlineStr">
        <is>
          <t>II- Machinery and Equipment</t>
        </is>
      </c>
      <c r="J206" s="9" t="inlineStr"/>
    </row>
    <row r="207">
      <c r="A207" s="8">
        <f>IF(AND(ISBLANK(B207),ISBLANK(C207),ISBLANK(D207),ISBLANK(E207),ISBLANK(G207),ISBLANK(H207),ISBLANK(J207)),"",ROW()-6)</f>
        <v/>
      </c>
      <c r="B207" s="9" t="inlineStr">
        <is>
          <t>32mm Iron Pipe</t>
        </is>
      </c>
      <c r="C207" s="8" t="inlineStr">
        <is>
          <t>tons</t>
        </is>
      </c>
      <c r="D207" s="10" t="n">
        <v>84</v>
      </c>
      <c r="E207" s="11" t="n">
        <v>757.14</v>
      </c>
      <c r="F207" s="12">
        <f>IF(AND(D207&lt;&gt;"",E207&lt;&gt;""),D207*E207,"")</f>
        <v/>
      </c>
      <c r="G207" s="13" t="n"/>
      <c r="H207" s="13" t="n">
        <v>100</v>
      </c>
      <c r="I207" s="14" t="inlineStr">
        <is>
          <t>II- Machinery and Equipment</t>
        </is>
      </c>
      <c r="J207" s="9" t="inlineStr"/>
    </row>
    <row r="208">
      <c r="A208" s="8">
        <f>IF(AND(ISBLANK(B208),ISBLANK(C208),ISBLANK(D208),ISBLANK(E208),ISBLANK(G208),ISBLANK(H208),ISBLANK(J208)),"",ROW()-6)</f>
        <v/>
      </c>
      <c r="B208" s="9" t="inlineStr">
        <is>
          <t>12.7mm Iron Pipe</t>
        </is>
      </c>
      <c r="C208" s="8" t="inlineStr">
        <is>
          <t>tons</t>
        </is>
      </c>
      <c r="D208" s="10" t="n">
        <v>42</v>
      </c>
      <c r="E208" s="11" t="n">
        <v>628.5699999999999</v>
      </c>
      <c r="F208" s="12">
        <f>IF(AND(D208&lt;&gt;"",E208&lt;&gt;""),D208*E208,"")</f>
        <v/>
      </c>
      <c r="G208" s="13" t="n"/>
      <c r="H208" s="13" t="n">
        <v>100</v>
      </c>
      <c r="I208" s="14" t="inlineStr">
        <is>
          <t>II- Machinery and Equipment</t>
        </is>
      </c>
      <c r="J208" s="9" t="inlineStr"/>
    </row>
    <row r="209">
      <c r="A209" s="8">
        <f>IF(AND(ISBLANK(B209),ISBLANK(C209),ISBLANK(D209),ISBLANK(E209),ISBLANK(G209),ISBLANK(H209),ISBLANK(J209)),"",ROW()-6)</f>
        <v/>
      </c>
      <c r="B209" s="9" t="inlineStr">
        <is>
          <t>4.0mm Iron Wire</t>
        </is>
      </c>
      <c r="C209" s="8" t="inlineStr">
        <is>
          <t>tons</t>
        </is>
      </c>
      <c r="D209" s="10" t="n">
        <v>2</v>
      </c>
      <c r="E209" s="11" t="n">
        <v>777.145</v>
      </c>
      <c r="F209" s="12">
        <f>IF(AND(D209&lt;&gt;"",E209&lt;&gt;""),D209*E209,"")</f>
        <v/>
      </c>
      <c r="G209" s="13" t="n"/>
      <c r="H209" s="13" t="n">
        <v>100</v>
      </c>
      <c r="I209" s="14" t="inlineStr">
        <is>
          <t>II- Machinery and Equipment</t>
        </is>
      </c>
      <c r="J209" s="9" t="inlineStr"/>
    </row>
    <row r="210">
      <c r="A210" s="8">
        <f>IF(AND(ISBLANK(B210),ISBLANK(C210),ISBLANK(D210),ISBLANK(E210),ISBLANK(G210),ISBLANK(H210),ISBLANK(J210)),"",ROW()-6)</f>
        <v/>
      </c>
      <c r="B210" s="9" t="inlineStr">
        <is>
          <t>6mm Nuts</t>
        </is>
      </c>
      <c r="C210" s="8" t="inlineStr">
        <is>
          <t>tons</t>
        </is>
      </c>
      <c r="D210" s="10" t="n">
        <v>5</v>
      </c>
      <c r="E210" s="11" t="n">
        <v>874.2879999999999</v>
      </c>
      <c r="F210" s="12">
        <f>IF(AND(D210&lt;&gt;"",E210&lt;&gt;""),D210*E210,"")</f>
        <v/>
      </c>
      <c r="G210" s="13" t="n"/>
      <c r="H210" s="13" t="n">
        <v>100</v>
      </c>
      <c r="I210" s="14" t="inlineStr">
        <is>
          <t>II- Machinery and Equipment</t>
        </is>
      </c>
      <c r="J210" s="9" t="inlineStr"/>
    </row>
    <row r="211">
      <c r="A211" s="8">
        <f>IF(AND(ISBLANK(B211),ISBLANK(C211),ISBLANK(D211),ISBLANK(E211),ISBLANK(G211),ISBLANK(H211),ISBLANK(J211)),"",ROW()-6)</f>
        <v/>
      </c>
      <c r="B211" s="9" t="inlineStr">
        <is>
          <t>6mm Bolts</t>
        </is>
      </c>
      <c r="C211" s="8" t="inlineStr">
        <is>
          <t>tons</t>
        </is>
      </c>
      <c r="D211" s="10" t="n">
        <v>90</v>
      </c>
      <c r="E211" s="11" t="n">
        <v>757</v>
      </c>
      <c r="F211" s="12">
        <f>IF(AND(D211&lt;&gt;"",E211&lt;&gt;""),D211*E211,"")</f>
        <v/>
      </c>
      <c r="G211" s="13" t="n"/>
      <c r="H211" s="13" t="n">
        <v>100</v>
      </c>
      <c r="I211" s="14" t="inlineStr">
        <is>
          <t>II- Machinery and Equipment</t>
        </is>
      </c>
      <c r="J211" s="9" t="inlineStr"/>
    </row>
    <row r="212">
      <c r="A212" s="8">
        <f>IF(AND(ISBLANK(B212),ISBLANK(C212),ISBLANK(D212),ISBLANK(E212),ISBLANK(G212),ISBLANK(H212),ISBLANK(J212)),"",ROW()-6)</f>
        <v/>
      </c>
      <c r="B212" s="9" t="inlineStr">
        <is>
          <t>75x6-Inch Pipe</t>
        </is>
      </c>
      <c r="C212" s="8" t="inlineStr">
        <is>
          <t>tons</t>
        </is>
      </c>
      <c r="D212" s="10" t="n">
        <v>35</v>
      </c>
      <c r="E212" s="11" t="n">
        <v>757.14</v>
      </c>
      <c r="F212" s="12">
        <f>IF(AND(D212&lt;&gt;"",E212&lt;&gt;""),D212*E212,"")</f>
        <v/>
      </c>
      <c r="G212" s="13" t="n"/>
      <c r="H212" s="13" t="n">
        <v>100</v>
      </c>
      <c r="I212" s="14" t="inlineStr">
        <is>
          <t>II- Machinery and Equipment</t>
        </is>
      </c>
      <c r="J212" s="9" t="inlineStr"/>
    </row>
    <row r="213">
      <c r="A213" s="8">
        <f>IF(AND(ISBLANK(B213),ISBLANK(C213),ISBLANK(D213),ISBLANK(E213),ISBLANK(G213),ISBLANK(H213),ISBLANK(J213)),"",ROW()-6)</f>
        <v/>
      </c>
      <c r="B213" s="9" t="inlineStr">
        <is>
          <t>30mm Iron Pipe</t>
        </is>
      </c>
      <c r="C213" s="8" t="inlineStr">
        <is>
          <t>tons</t>
        </is>
      </c>
      <c r="D213" s="10" t="n">
        <v>100</v>
      </c>
      <c r="E213" s="11" t="n">
        <v>642.86</v>
      </c>
      <c r="F213" s="12">
        <f>IF(AND(D213&lt;&gt;"",E213&lt;&gt;""),D213*E213,"")</f>
        <v/>
      </c>
      <c r="G213" s="13" t="n"/>
      <c r="H213" s="13" t="n">
        <v>100</v>
      </c>
      <c r="I213" s="14" t="inlineStr">
        <is>
          <t>II- Machinery and Equipment</t>
        </is>
      </c>
      <c r="J213" s="9" t="inlineStr"/>
    </row>
    <row r="214">
      <c r="A214" s="8">
        <f>IF(AND(ISBLANK(B214),ISBLANK(C214),ISBLANK(D214),ISBLANK(E214),ISBLANK(G214),ISBLANK(H214),ISBLANK(J214)),"",ROW()-6)</f>
        <v/>
      </c>
      <c r="B214" s="9" t="inlineStr">
        <is>
          <t>12.7mm Iron Pipe</t>
        </is>
      </c>
      <c r="C214" s="8" t="inlineStr">
        <is>
          <t>tons</t>
        </is>
      </c>
      <c r="D214" s="10" t="n">
        <v>19</v>
      </c>
      <c r="E214" s="11" t="n">
        <v>628.5700000000001</v>
      </c>
      <c r="F214" s="12">
        <f>IF(AND(D214&lt;&gt;"",E214&lt;&gt;""),D214*E214,"")</f>
        <v/>
      </c>
      <c r="G214" s="13" t="n"/>
      <c r="H214" s="13" t="n">
        <v>100</v>
      </c>
      <c r="I214" s="14" t="inlineStr">
        <is>
          <t>II- Machinery and Equipment</t>
        </is>
      </c>
      <c r="J214" s="9" t="inlineStr"/>
    </row>
    <row r="215">
      <c r="A215" s="8">
        <f>IF(AND(ISBLANK(B215),ISBLANK(C215),ISBLANK(D215),ISBLANK(E215),ISBLANK(G215),ISBLANK(H215),ISBLANK(J215)),"",ROW()-6)</f>
        <v/>
      </c>
      <c r="B215" s="9" t="inlineStr">
        <is>
          <t>4.0mm Iron Wire</t>
        </is>
      </c>
      <c r="C215" s="8" t="inlineStr">
        <is>
          <t>tons</t>
        </is>
      </c>
      <c r="D215" s="10" t="n">
        <v>1</v>
      </c>
      <c r="E215" s="11" t="n">
        <v>777.14</v>
      </c>
      <c r="F215" s="12">
        <f>IF(AND(D215&lt;&gt;"",E215&lt;&gt;""),D215*E215,"")</f>
        <v/>
      </c>
      <c r="G215" s="13" t="n"/>
      <c r="H215" s="13" t="n">
        <v>100</v>
      </c>
      <c r="I215" s="14" t="inlineStr">
        <is>
          <t>II- Machinery and Equipment</t>
        </is>
      </c>
      <c r="J215" s="9" t="inlineStr"/>
    </row>
    <row r="216">
      <c r="A216" s="8">
        <f>IF(AND(ISBLANK(B216),ISBLANK(C216),ISBLANK(D216),ISBLANK(E216),ISBLANK(G216),ISBLANK(H216),ISBLANK(J216)),"",ROW()-6)</f>
        <v/>
      </c>
      <c r="B216" s="9" t="inlineStr">
        <is>
          <t>6mm Nuts</t>
        </is>
      </c>
      <c r="C216" s="8" t="inlineStr">
        <is>
          <t>tons</t>
        </is>
      </c>
      <c r="D216" s="10" t="n">
        <v>2</v>
      </c>
      <c r="E216" s="11" t="n">
        <v>1092.86</v>
      </c>
      <c r="F216" s="12">
        <f>IF(AND(D216&lt;&gt;"",E216&lt;&gt;""),D216*E216,"")</f>
        <v/>
      </c>
      <c r="G216" s="13" t="n"/>
      <c r="H216" s="13" t="n">
        <v>100</v>
      </c>
      <c r="I216" s="14" t="inlineStr">
        <is>
          <t>II- Machinery and Equipment</t>
        </is>
      </c>
      <c r="J216" s="9" t="inlineStr"/>
    </row>
    <row r="217">
      <c r="A217" s="8">
        <f>IF(AND(ISBLANK(B217),ISBLANK(C217),ISBLANK(D217),ISBLANK(E217),ISBLANK(G217),ISBLANK(H217),ISBLANK(J217)),"",ROW()-6)</f>
        <v/>
      </c>
      <c r="B217" s="9" t="inlineStr">
        <is>
          <t>6mm Bolts</t>
        </is>
      </c>
      <c r="C217" s="8" t="inlineStr">
        <is>
          <t>tons</t>
        </is>
      </c>
      <c r="D217" s="10" t="n">
        <v>140</v>
      </c>
      <c r="E217" s="11" t="n">
        <v>757</v>
      </c>
      <c r="F217" s="12">
        <f>IF(AND(D217&lt;&gt;"",E217&lt;&gt;""),D217*E217,"")</f>
        <v/>
      </c>
      <c r="G217" s="13" t="n"/>
      <c r="H217" s="13" t="n">
        <v>100</v>
      </c>
      <c r="I217" s="14" t="inlineStr">
        <is>
          <t>II- Machinery and Equipment</t>
        </is>
      </c>
      <c r="J217" s="9" t="inlineStr"/>
    </row>
    <row r="218">
      <c r="A218" s="8">
        <f>IF(AND(ISBLANK(B218),ISBLANK(C218),ISBLANK(D218),ISBLANK(E218),ISBLANK(G218),ISBLANK(H218),ISBLANK(J218)),"",ROW()-6)</f>
        <v/>
      </c>
      <c r="B218" s="9" t="inlineStr">
        <is>
          <t>100x10-Inch Pipe</t>
        </is>
      </c>
      <c r="C218" s="8" t="inlineStr">
        <is>
          <t>tons</t>
        </is>
      </c>
      <c r="D218" s="10" t="n">
        <v>24</v>
      </c>
      <c r="E218" s="11" t="n">
        <v>757.14</v>
      </c>
      <c r="F218" s="12">
        <f>IF(AND(D218&lt;&gt;"",E218&lt;&gt;""),D218*E218,"")</f>
        <v/>
      </c>
      <c r="G218" s="13" t="n"/>
      <c r="H218" s="13" t="n">
        <v>100</v>
      </c>
      <c r="I218" s="14" t="inlineStr">
        <is>
          <t>II- Machinery and Equipment</t>
        </is>
      </c>
      <c r="J218" s="9" t="inlineStr"/>
    </row>
    <row r="219">
      <c r="A219" s="8">
        <f>IF(AND(ISBLANK(B219),ISBLANK(C219),ISBLANK(D219),ISBLANK(E219),ISBLANK(G219),ISBLANK(H219),ISBLANK(J219)),"",ROW()-6)</f>
        <v/>
      </c>
      <c r="B219" s="9" t="inlineStr">
        <is>
          <t>42mm Iron Pipe</t>
        </is>
      </c>
      <c r="C219" s="8" t="inlineStr">
        <is>
          <t>tons</t>
        </is>
      </c>
      <c r="D219" s="10" t="n">
        <v>55</v>
      </c>
      <c r="E219" s="11" t="n">
        <v>757</v>
      </c>
      <c r="F219" s="12">
        <f>IF(AND(D219&lt;&gt;"",E219&lt;&gt;""),D219*E219,"")</f>
        <v/>
      </c>
      <c r="G219" s="13" t="n"/>
      <c r="H219" s="13" t="n">
        <v>100</v>
      </c>
      <c r="I219" s="14" t="inlineStr">
        <is>
          <t>II- Machinery and Equipment</t>
        </is>
      </c>
      <c r="J219" s="9" t="inlineStr"/>
    </row>
    <row r="220">
      <c r="A220" s="8">
        <f>IF(AND(ISBLANK(B220),ISBLANK(C220),ISBLANK(D220),ISBLANK(E220),ISBLANK(G220),ISBLANK(H220),ISBLANK(J220)),"",ROW()-6)</f>
        <v/>
      </c>
      <c r="B220" s="9" t="inlineStr">
        <is>
          <t>19mm Iron Pipe</t>
        </is>
      </c>
      <c r="C220" s="8" t="inlineStr">
        <is>
          <t>tons</t>
        </is>
      </c>
      <c r="D220" s="10" t="n">
        <v>34</v>
      </c>
      <c r="E220" s="11" t="n">
        <v>628.5</v>
      </c>
      <c r="F220" s="12">
        <f>IF(AND(D220&lt;&gt;"",E220&lt;&gt;""),D220*E220,"")</f>
        <v/>
      </c>
      <c r="G220" s="13" t="n"/>
      <c r="H220" s="13" t="n">
        <v>100</v>
      </c>
      <c r="I220" s="14" t="inlineStr">
        <is>
          <t>II- Machinery and Equipment</t>
        </is>
      </c>
      <c r="J220" s="9" t="inlineStr"/>
    </row>
    <row r="221">
      <c r="A221" s="8">
        <f>IF(AND(ISBLANK(B221),ISBLANK(C221),ISBLANK(D221),ISBLANK(E221),ISBLANK(G221),ISBLANK(H221),ISBLANK(J221)),"",ROW()-6)</f>
        <v/>
      </c>
      <c r="B221" s="9" t="inlineStr">
        <is>
          <t>4.0mm Iron Wire</t>
        </is>
      </c>
      <c r="C221" s="8" t="inlineStr">
        <is>
          <t>tons</t>
        </is>
      </c>
      <c r="D221" s="10" t="n">
        <v>1</v>
      </c>
      <c r="E221" s="11" t="n">
        <v>971.4299999999999</v>
      </c>
      <c r="F221" s="12">
        <f>IF(AND(D221&lt;&gt;"",E221&lt;&gt;""),D221*E221,"")</f>
        <v/>
      </c>
      <c r="G221" s="13" t="n"/>
      <c r="H221" s="13" t="n">
        <v>100</v>
      </c>
      <c r="I221" s="14" t="inlineStr">
        <is>
          <t>II- Machinery and Equipment</t>
        </is>
      </c>
      <c r="J221" s="9" t="inlineStr"/>
    </row>
    <row r="222">
      <c r="A222" s="8">
        <f>IF(AND(ISBLANK(B222),ISBLANK(C222),ISBLANK(D222),ISBLANK(E222),ISBLANK(G222),ISBLANK(H222),ISBLANK(J222)),"",ROW()-6)</f>
        <v/>
      </c>
      <c r="B222" s="9" t="inlineStr">
        <is>
          <t>6mm Nuts</t>
        </is>
      </c>
      <c r="C222" s="8" t="inlineStr">
        <is>
          <t>tons</t>
        </is>
      </c>
      <c r="D222" s="10" t="n">
        <v>3</v>
      </c>
      <c r="E222" s="11" t="n">
        <v>971.4299999999999</v>
      </c>
      <c r="F222" s="12">
        <f>IF(AND(D222&lt;&gt;"",E222&lt;&gt;""),D222*E222,"")</f>
        <v/>
      </c>
      <c r="G222" s="13" t="n"/>
      <c r="H222" s="13" t="n">
        <v>100</v>
      </c>
      <c r="I222" s="14" t="inlineStr">
        <is>
          <t>II- Machinery and Equipment</t>
        </is>
      </c>
      <c r="J222" s="9" t="inlineStr"/>
    </row>
    <row r="223">
      <c r="A223" s="8">
        <f>IF(AND(ISBLANK(B223),ISBLANK(C223),ISBLANK(D223),ISBLANK(E223),ISBLANK(G223),ISBLANK(H223),ISBLANK(J223)),"",ROW()-6)</f>
        <v/>
      </c>
      <c r="B223" s="9" t="inlineStr">
        <is>
          <t>6mm Bolts</t>
        </is>
      </c>
      <c r="C223" s="8" t="inlineStr">
        <is>
          <t>tons</t>
        </is>
      </c>
      <c r="D223" s="10" t="n">
        <v>1</v>
      </c>
      <c r="E223" s="11" t="n">
        <v>7142</v>
      </c>
      <c r="F223" s="12">
        <f>IF(AND(D223&lt;&gt;"",E223&lt;&gt;""),D223*E223,"")</f>
        <v/>
      </c>
      <c r="G223" s="13" t="n"/>
      <c r="H223" s="13" t="n">
        <v>100</v>
      </c>
      <c r="I223" s="14" t="inlineStr">
        <is>
          <t>II- Machinery and Equipment</t>
        </is>
      </c>
      <c r="J223" s="9" t="inlineStr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2025-12-02T07:44:25Z</dcterms:created>
  <dcterms:modified xsi:type="dcterms:W3CDTF">2025-12-02T07:44:26Z</dcterms:modified>
</cp:coreProperties>
</file>