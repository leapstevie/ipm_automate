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QIP25098170</t>
        </is>
      </c>
      <c r="J1" s="2" t="inlineStr">
        <is>
          <t>Downloaded datetime: 02/12/2025 02:47:02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Air Duct/Air Net</t>
        </is>
      </c>
      <c r="C7" s="8" t="inlineStr">
        <is>
          <t>set</t>
        </is>
      </c>
      <c r="D7" s="10" t="n">
        <v>5</v>
      </c>
      <c r="E7" s="11" t="n">
        <v>7106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Air Net System</t>
        </is>
      </c>
      <c r="C8" s="8" t="inlineStr">
        <is>
          <t>set</t>
        </is>
      </c>
      <c r="D8" s="10" t="n">
        <v>5</v>
      </c>
      <c r="E8" s="11" t="n">
        <v>3087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Air Net System</t>
        </is>
      </c>
      <c r="C9" s="8" t="inlineStr">
        <is>
          <t>set</t>
        </is>
      </c>
      <c r="D9" s="10" t="n">
        <v>5</v>
      </c>
      <c r="E9" s="11" t="n">
        <v>4827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Airlock #1</t>
        </is>
      </c>
      <c r="C10" s="8" t="inlineStr">
        <is>
          <t>set</t>
        </is>
      </c>
      <c r="D10" s="10" t="n">
        <v>5</v>
      </c>
      <c r="E10" s="11" t="n">
        <v>1425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Airlock #2</t>
        </is>
      </c>
      <c r="C11" s="8" t="inlineStr">
        <is>
          <t>set</t>
        </is>
      </c>
      <c r="D11" s="10" t="n">
        <v>5</v>
      </c>
      <c r="E11" s="11" t="n">
        <v>890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Airlock #3</t>
        </is>
      </c>
      <c r="C12" s="8" t="inlineStr">
        <is>
          <t>set</t>
        </is>
      </c>
      <c r="D12" s="10" t="n">
        <v>8</v>
      </c>
      <c r="E12" s="11" t="n">
        <v>1484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Airlock #4</t>
        </is>
      </c>
      <c r="C13" s="8" t="inlineStr">
        <is>
          <t>set</t>
        </is>
      </c>
      <c r="D13" s="10" t="n">
        <v>5</v>
      </c>
      <c r="E13" s="11" t="n">
        <v>2426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Airlock #5</t>
        </is>
      </c>
      <c r="C14" s="8" t="inlineStr">
        <is>
          <t>set</t>
        </is>
      </c>
      <c r="D14" s="10" t="n">
        <v>5</v>
      </c>
      <c r="E14" s="11" t="n">
        <v>1599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Airlock #6</t>
        </is>
      </c>
      <c r="C15" s="8" t="inlineStr">
        <is>
          <t>set</t>
        </is>
      </c>
      <c r="D15" s="10" t="n">
        <v>5</v>
      </c>
      <c r="E15" s="11" t="n">
        <v>1070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Airlock #7</t>
        </is>
      </c>
      <c r="C16" s="8" t="inlineStr">
        <is>
          <t>set</t>
        </is>
      </c>
      <c r="D16" s="10" t="n">
        <v>5</v>
      </c>
      <c r="E16" s="11" t="n">
        <v>694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Airlock #8</t>
        </is>
      </c>
      <c r="C17" s="8" t="inlineStr">
        <is>
          <t>set</t>
        </is>
      </c>
      <c r="D17" s="10" t="n">
        <v>5</v>
      </c>
      <c r="E17" s="11" t="n">
        <v>3211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Anti-Crushing Chute</t>
        </is>
      </c>
      <c r="C18" s="8" t="inlineStr">
        <is>
          <t>set</t>
        </is>
      </c>
      <c r="D18" s="10" t="n">
        <v>5</v>
      </c>
      <c r="E18" s="11" t="n">
        <v>1733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Aquatic Feed Production Line</t>
        </is>
      </c>
      <c r="C19" s="8" t="inlineStr">
        <is>
          <t>set</t>
        </is>
      </c>
      <c r="D19" s="10" t="n">
        <v>2</v>
      </c>
      <c r="E19" s="11" t="n">
        <v>2000000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Batching Bin</t>
        </is>
      </c>
      <c r="C20" s="8" t="inlineStr">
        <is>
          <t>set</t>
        </is>
      </c>
      <c r="D20" s="10" t="n">
        <v>5</v>
      </c>
      <c r="E20" s="11" t="n">
        <v>2475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Biscuit Production Line</t>
        </is>
      </c>
      <c r="C21" s="8" t="inlineStr">
        <is>
          <t>set</t>
        </is>
      </c>
      <c r="D21" s="10" t="n">
        <v>2</v>
      </c>
      <c r="E21" s="11" t="n">
        <v>182000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Boiler</t>
        </is>
      </c>
      <c r="C22" s="8" t="inlineStr">
        <is>
          <t>set</t>
        </is>
      </c>
      <c r="D22" s="10" t="n">
        <v>5</v>
      </c>
      <c r="E22" s="11" t="n">
        <v>150000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Broken Arch Feeder</t>
        </is>
      </c>
      <c r="C23" s="8" t="inlineStr">
        <is>
          <t>set</t>
        </is>
      </c>
      <c r="D23" s="10" t="n">
        <v>7</v>
      </c>
      <c r="E23" s="11" t="n">
        <v>2961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Broken Arch Feeder</t>
        </is>
      </c>
      <c r="C24" s="8" t="inlineStr">
        <is>
          <t>set</t>
        </is>
      </c>
      <c r="D24" s="10" t="n">
        <v>5</v>
      </c>
      <c r="E24" s="11" t="n">
        <v>5922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Bucket Elevator</t>
        </is>
      </c>
      <c r="C25" s="8" t="inlineStr">
        <is>
          <t>set</t>
        </is>
      </c>
      <c r="D25" s="10" t="n">
        <v>5</v>
      </c>
      <c r="E25" s="11" t="n">
        <v>13618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Bucket Elevator</t>
        </is>
      </c>
      <c r="C26" s="8" t="inlineStr">
        <is>
          <t>set</t>
        </is>
      </c>
      <c r="D26" s="10" t="n">
        <v>5</v>
      </c>
      <c r="E26" s="11" t="n">
        <v>9716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Bucket Elevator</t>
        </is>
      </c>
      <c r="C27" s="8" t="inlineStr">
        <is>
          <t>set</t>
        </is>
      </c>
      <c r="D27" s="10" t="n">
        <v>5</v>
      </c>
      <c r="E27" s="11" t="n">
        <v>12554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II- Machinery and Equipment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Can Cleaning Machine</t>
        </is>
      </c>
      <c r="C28" s="8" t="inlineStr">
        <is>
          <t>set</t>
        </is>
      </c>
      <c r="D28" s="10" t="n">
        <v>10</v>
      </c>
      <c r="E28" s="11" t="n">
        <v>5000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II- Machinery and Equipment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Can Filling Machine</t>
        </is>
      </c>
      <c r="C29" s="8" t="inlineStr">
        <is>
          <t>set</t>
        </is>
      </c>
      <c r="D29" s="10" t="n">
        <v>10</v>
      </c>
      <c r="E29" s="11" t="n">
        <v>110000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II- Machinery and Equipment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Cat Strip Filling Machine</t>
        </is>
      </c>
      <c r="C30" s="8" t="inlineStr">
        <is>
          <t>set</t>
        </is>
      </c>
      <c r="D30" s="10" t="n">
        <v>15</v>
      </c>
      <c r="E30" s="11" t="n">
        <v>13000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II- Machinery and Equipment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Centrifugal Blower#1</t>
        </is>
      </c>
      <c r="C31" s="8" t="inlineStr">
        <is>
          <t>set</t>
        </is>
      </c>
      <c r="D31" s="10" t="n">
        <v>5</v>
      </c>
      <c r="E31" s="11" t="n">
        <v>899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II- Machinery and Equipment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Centrifugal Blower#2</t>
        </is>
      </c>
      <c r="C32" s="8" t="inlineStr">
        <is>
          <t>set</t>
        </is>
      </c>
      <c r="D32" s="10" t="n">
        <v>5</v>
      </c>
      <c r="E32" s="11" t="n">
        <v>3564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II- Machinery and Equipment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Centrifugal Blower#3</t>
        </is>
      </c>
      <c r="C33" s="8" t="inlineStr">
        <is>
          <t>set</t>
        </is>
      </c>
      <c r="D33" s="10" t="n">
        <v>5</v>
      </c>
      <c r="E33" s="11" t="n">
        <v>1421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II- Machinery and Equipment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Centrifugal Blower#4</t>
        </is>
      </c>
      <c r="C34" s="8" t="inlineStr">
        <is>
          <t>set</t>
        </is>
      </c>
      <c r="D34" s="10" t="n">
        <v>5</v>
      </c>
      <c r="E34" s="11" t="n">
        <v>1127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II- Machinery and Equipment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Centrifugal Blower#5</t>
        </is>
      </c>
      <c r="C35" s="8" t="inlineStr">
        <is>
          <t>set</t>
        </is>
      </c>
      <c r="D35" s="10" t="n">
        <v>5</v>
      </c>
      <c r="E35" s="11" t="n">
        <v>4976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II- Machinery and Equipment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Centrifugal Blower#6</t>
        </is>
      </c>
      <c r="C36" s="8" t="inlineStr">
        <is>
          <t>set</t>
        </is>
      </c>
      <c r="D36" s="10" t="n">
        <v>5</v>
      </c>
      <c r="E36" s="11" t="n">
        <v>4855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II- Machinery and Equipment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Centrifugal Blower#7</t>
        </is>
      </c>
      <c r="C37" s="8" t="inlineStr">
        <is>
          <t>set</t>
        </is>
      </c>
      <c r="D37" s="10" t="n">
        <v>5</v>
      </c>
      <c r="E37" s="11" t="n">
        <v>648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II- Machinery and Equipment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Centrifugal Blower#8</t>
        </is>
      </c>
      <c r="C38" s="8" t="inlineStr">
        <is>
          <t>set</t>
        </is>
      </c>
      <c r="D38" s="10" t="n">
        <v>5</v>
      </c>
      <c r="E38" s="11" t="n">
        <v>3724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II- Machinery and Equipment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Centrifugal Pump</t>
        </is>
      </c>
      <c r="C39" s="8" t="inlineStr">
        <is>
          <t>set</t>
        </is>
      </c>
      <c r="D39" s="10" t="n">
        <v>5</v>
      </c>
      <c r="E39" s="11" t="n">
        <v>394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II- Machinery and Equipment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Chopping Machine</t>
        </is>
      </c>
      <c r="C40" s="8" t="inlineStr">
        <is>
          <t>set</t>
        </is>
      </c>
      <c r="D40" s="10" t="n">
        <v>20</v>
      </c>
      <c r="E40" s="11" t="n">
        <v>5000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II- Machinery and Equipment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Collecting Hopper</t>
        </is>
      </c>
      <c r="C41" s="8" t="inlineStr">
        <is>
          <t>set</t>
        </is>
      </c>
      <c r="D41" s="10" t="n">
        <v>20</v>
      </c>
      <c r="E41" s="11" t="n">
        <v>238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II- Machinery and Equipment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B42" s="9" t="inlineStr">
        <is>
          <t>Corn Wheat Silo</t>
        </is>
      </c>
      <c r="C42" s="8" t="inlineStr">
        <is>
          <t>set</t>
        </is>
      </c>
      <c r="D42" s="10" t="n">
        <v>8</v>
      </c>
      <c r="E42" s="11" t="n">
        <v>150000</v>
      </c>
      <c r="F42" s="12">
        <f>IF(AND(D42&lt;&gt;"",E42&lt;&gt;""),D42*E42,"")</f>
        <v/>
      </c>
      <c r="G42" s="13" t="n"/>
      <c r="H42" s="13" t="n">
        <v>100</v>
      </c>
      <c r="I42" s="14" t="inlineStr">
        <is>
          <t>II- Machinery and Equipment</t>
        </is>
      </c>
      <c r="J42" s="9" t="inlineStr"/>
    </row>
    <row r="43">
      <c r="A43" s="8">
        <f>IF(AND(ISBLANK(B43),ISBLANK(C43),ISBLANK(D43),ISBLANK(E43),ISBLANK(G43),ISBLANK(H43),ISBLANK(J43)),"",ROW()-6)</f>
        <v/>
      </c>
      <c r="B43" s="9" t="inlineStr">
        <is>
          <t>Cyclone#1</t>
        </is>
      </c>
      <c r="C43" s="8" t="inlineStr">
        <is>
          <t>set</t>
        </is>
      </c>
      <c r="D43" s="10" t="n">
        <v>5</v>
      </c>
      <c r="E43" s="11" t="n">
        <v>832</v>
      </c>
      <c r="F43" s="12">
        <f>IF(AND(D43&lt;&gt;"",E43&lt;&gt;""),D43*E43,"")</f>
        <v/>
      </c>
      <c r="G43" s="13" t="n"/>
      <c r="H43" s="13" t="n">
        <v>100</v>
      </c>
      <c r="I43" s="14" t="inlineStr">
        <is>
          <t>II- Machinery and Equipment</t>
        </is>
      </c>
      <c r="J43" s="9" t="inlineStr"/>
    </row>
    <row r="44">
      <c r="A44" s="8">
        <f>IF(AND(ISBLANK(B44),ISBLANK(C44),ISBLANK(D44),ISBLANK(E44),ISBLANK(G44),ISBLANK(H44),ISBLANK(J44)),"",ROW()-6)</f>
        <v/>
      </c>
      <c r="B44" s="9" t="inlineStr">
        <is>
          <t>Cyclone#2</t>
        </is>
      </c>
      <c r="C44" s="8" t="inlineStr">
        <is>
          <t>set</t>
        </is>
      </c>
      <c r="D44" s="10" t="n">
        <v>5</v>
      </c>
      <c r="E44" s="11" t="n">
        <v>4816</v>
      </c>
      <c r="F44" s="12">
        <f>IF(AND(D44&lt;&gt;"",E44&lt;&gt;""),D44*E44,"")</f>
        <v/>
      </c>
      <c r="G44" s="13" t="n"/>
      <c r="H44" s="13" t="n">
        <v>100</v>
      </c>
      <c r="I44" s="14" t="inlineStr">
        <is>
          <t>II- Machinery and Equipment</t>
        </is>
      </c>
      <c r="J44" s="9" t="inlineStr"/>
    </row>
    <row r="45">
      <c r="A45" s="8">
        <f>IF(AND(ISBLANK(B45),ISBLANK(C45),ISBLANK(D45),ISBLANK(E45),ISBLANK(G45),ISBLANK(H45),ISBLANK(J45)),"",ROW()-6)</f>
        <v/>
      </c>
      <c r="B45" s="9" t="inlineStr">
        <is>
          <t>Cyclone#3</t>
        </is>
      </c>
      <c r="C45" s="8" t="inlineStr">
        <is>
          <t>set</t>
        </is>
      </c>
      <c r="D45" s="10" t="n">
        <v>5</v>
      </c>
      <c r="E45" s="11" t="n">
        <v>5152</v>
      </c>
      <c r="F45" s="12">
        <f>IF(AND(D45&lt;&gt;"",E45&lt;&gt;""),D45*E45,"")</f>
        <v/>
      </c>
      <c r="G45" s="13" t="n"/>
      <c r="H45" s="13" t="n">
        <v>100</v>
      </c>
      <c r="I45" s="14" t="inlineStr">
        <is>
          <t>II- Machinery and Equipment</t>
        </is>
      </c>
      <c r="J45" s="9" t="inlineStr"/>
    </row>
    <row r="46">
      <c r="A46" s="8">
        <f>IF(AND(ISBLANK(B46),ISBLANK(C46),ISBLANK(D46),ISBLANK(E46),ISBLANK(G46),ISBLANK(H46),ISBLANK(J46)),"",ROW()-6)</f>
        <v/>
      </c>
      <c r="B46" s="9" t="inlineStr">
        <is>
          <t>Cyclone#4</t>
        </is>
      </c>
      <c r="C46" s="8" t="inlineStr">
        <is>
          <t>set</t>
        </is>
      </c>
      <c r="D46" s="10" t="n">
        <v>5</v>
      </c>
      <c r="E46" s="11" t="n">
        <v>2640</v>
      </c>
      <c r="F46" s="12">
        <f>IF(AND(D46&lt;&gt;"",E46&lt;&gt;""),D46*E46,"")</f>
        <v/>
      </c>
      <c r="G46" s="13" t="n"/>
      <c r="H46" s="13" t="n">
        <v>100</v>
      </c>
      <c r="I46" s="14" t="inlineStr">
        <is>
          <t>II- Machinery and Equipment</t>
        </is>
      </c>
      <c r="J46" s="9" t="inlineStr"/>
    </row>
    <row r="47">
      <c r="A47" s="8">
        <f>IF(AND(ISBLANK(B47),ISBLANK(C47),ISBLANK(D47),ISBLANK(E47),ISBLANK(G47),ISBLANK(H47),ISBLANK(J47)),"",ROW()-6)</f>
        <v/>
      </c>
      <c r="B47" s="9" t="inlineStr">
        <is>
          <t>Cylinder Primary Cleaning Screen</t>
        </is>
      </c>
      <c r="C47" s="8" t="inlineStr">
        <is>
          <t>set</t>
        </is>
      </c>
      <c r="D47" s="10" t="n">
        <v>5</v>
      </c>
      <c r="E47" s="11" t="n">
        <v>3280</v>
      </c>
      <c r="F47" s="12">
        <f>IF(AND(D47&lt;&gt;"",E47&lt;&gt;""),D47*E47,"")</f>
        <v/>
      </c>
      <c r="G47" s="13" t="n"/>
      <c r="H47" s="13" t="n">
        <v>100</v>
      </c>
      <c r="I47" s="14" t="inlineStr">
        <is>
          <t>II- Machinery and Equipment</t>
        </is>
      </c>
      <c r="J47" s="9" t="inlineStr"/>
    </row>
    <row r="48">
      <c r="A48" s="8">
        <f>IF(AND(ISBLANK(B48),ISBLANK(C48),ISBLANK(D48),ISBLANK(E48),ISBLANK(G48),ISBLANK(H48),ISBLANK(J48)),"",ROW()-6)</f>
        <v/>
      </c>
      <c r="B48" s="9" t="inlineStr">
        <is>
          <t>Density Controller</t>
        </is>
      </c>
      <c r="C48" s="8" t="inlineStr">
        <is>
          <t>set</t>
        </is>
      </c>
      <c r="D48" s="10" t="n">
        <v>8</v>
      </c>
      <c r="E48" s="11" t="n">
        <v>26054</v>
      </c>
      <c r="F48" s="12">
        <f>IF(AND(D48&lt;&gt;"",E48&lt;&gt;""),D48*E48,"")</f>
        <v/>
      </c>
      <c r="G48" s="13" t="n"/>
      <c r="H48" s="13" t="n">
        <v>100</v>
      </c>
      <c r="I48" s="14" t="inlineStr">
        <is>
          <t>II- Machinery and Equipment</t>
        </is>
      </c>
      <c r="J48" s="9" t="inlineStr"/>
    </row>
    <row r="49">
      <c r="A49" s="8">
        <f>IF(AND(ISBLANK(B49),ISBLANK(C49),ISBLANK(D49),ISBLANK(E49),ISBLANK(G49),ISBLANK(H49),ISBLANK(J49)),"",ROW()-6)</f>
        <v/>
      </c>
      <c r="B49" s="9" t="inlineStr">
        <is>
          <t>Double Shaft Differential Speed Conditioner</t>
        </is>
      </c>
      <c r="C49" s="8" t="inlineStr">
        <is>
          <t>set</t>
        </is>
      </c>
      <c r="D49" s="10" t="n">
        <v>8</v>
      </c>
      <c r="E49" s="11" t="n">
        <v>29015</v>
      </c>
      <c r="F49" s="12">
        <f>IF(AND(D49&lt;&gt;"",E49&lt;&gt;""),D49*E49,"")</f>
        <v/>
      </c>
      <c r="G49" s="13" t="n"/>
      <c r="H49" s="13" t="n">
        <v>100</v>
      </c>
      <c r="I49" s="14" t="inlineStr">
        <is>
          <t>II- Machinery and Equipment</t>
        </is>
      </c>
      <c r="J49" s="9" t="inlineStr"/>
    </row>
    <row r="50">
      <c r="A50" s="8">
        <f>IF(AND(ISBLANK(B50),ISBLANK(C50),ISBLANK(D50),ISBLANK(E50),ISBLANK(G50),ISBLANK(H50),ISBLANK(J50)),"",ROW()-6)</f>
        <v/>
      </c>
      <c r="B50" s="9" t="inlineStr">
        <is>
          <t>Double Shaft Paddle Mixer</t>
        </is>
      </c>
      <c r="C50" s="8" t="inlineStr">
        <is>
          <t>set</t>
        </is>
      </c>
      <c r="D50" s="10" t="n">
        <v>5</v>
      </c>
      <c r="E50" s="11" t="n">
        <v>30555</v>
      </c>
      <c r="F50" s="12">
        <f>IF(AND(D50&lt;&gt;"",E50&lt;&gt;""),D50*E50,"")</f>
        <v/>
      </c>
      <c r="G50" s="13" t="n"/>
      <c r="H50" s="13" t="n">
        <v>100</v>
      </c>
      <c r="I50" s="14" t="inlineStr">
        <is>
          <t>II- Machinery and Equipment</t>
        </is>
      </c>
      <c r="J50" s="9" t="inlineStr"/>
    </row>
    <row r="51">
      <c r="A51" s="8">
        <f>IF(AND(ISBLANK(B51),ISBLANK(C51),ISBLANK(D51),ISBLANK(E51),ISBLANK(G51),ISBLANK(H51),ISBLANK(J51)),"",ROW()-6)</f>
        <v/>
      </c>
      <c r="B51" s="9" t="inlineStr">
        <is>
          <t>Drawer Sifter</t>
        </is>
      </c>
      <c r="C51" s="8" t="inlineStr">
        <is>
          <t>set</t>
        </is>
      </c>
      <c r="D51" s="10" t="n">
        <v>5</v>
      </c>
      <c r="E51" s="11" t="n">
        <v>11876</v>
      </c>
      <c r="F51" s="12">
        <f>IF(AND(D51&lt;&gt;"",E51&lt;&gt;""),D51*E51,"")</f>
        <v/>
      </c>
      <c r="G51" s="13" t="n"/>
      <c r="H51" s="13" t="n">
        <v>100</v>
      </c>
      <c r="I51" s="14" t="inlineStr">
        <is>
          <t>II- Machinery and Equipment</t>
        </is>
      </c>
      <c r="J51" s="9" t="inlineStr"/>
    </row>
    <row r="52">
      <c r="A52" s="8">
        <f>IF(AND(ISBLANK(B52),ISBLANK(C52),ISBLANK(D52),ISBLANK(E52),ISBLANK(G52),ISBLANK(H52),ISBLANK(J52)),"",ROW()-6)</f>
        <v/>
      </c>
      <c r="B52" s="9" t="inlineStr">
        <is>
          <t>Drawer Sifter (Used)</t>
        </is>
      </c>
      <c r="C52" s="8" t="inlineStr">
        <is>
          <t>set</t>
        </is>
      </c>
      <c r="D52" s="10" t="n">
        <v>5</v>
      </c>
      <c r="E52" s="11" t="n">
        <v>9241</v>
      </c>
      <c r="F52" s="12">
        <f>IF(AND(D52&lt;&gt;"",E52&lt;&gt;""),D52*E52,"")</f>
        <v/>
      </c>
      <c r="G52" s="13" t="n"/>
      <c r="H52" s="13" t="n">
        <v>100</v>
      </c>
      <c r="I52" s="14" t="inlineStr">
        <is>
          <t>II- Machinery and Equipment</t>
        </is>
      </c>
      <c r="J52" s="9" t="inlineStr"/>
    </row>
    <row r="53">
      <c r="A53" s="8">
        <f>IF(AND(ISBLANK(B53),ISBLANK(C53),ISBLANK(D53),ISBLANK(E53),ISBLANK(G53),ISBLANK(H53),ISBLANK(J53)),"",ROW()-6)</f>
        <v/>
      </c>
      <c r="B53" s="9" t="inlineStr">
        <is>
          <t>Dryer Steam System</t>
        </is>
      </c>
      <c r="C53" s="8" t="inlineStr">
        <is>
          <t>set</t>
        </is>
      </c>
      <c r="D53" s="10" t="n">
        <v>5</v>
      </c>
      <c r="E53" s="11" t="n">
        <v>8313</v>
      </c>
      <c r="F53" s="12">
        <f>IF(AND(D53&lt;&gt;"",E53&lt;&gt;""),D53*E53,"")</f>
        <v/>
      </c>
      <c r="G53" s="13" t="n"/>
      <c r="H53" s="13" t="n">
        <v>100</v>
      </c>
      <c r="I53" s="14" t="inlineStr">
        <is>
          <t>II- Machinery and Equipment</t>
        </is>
      </c>
      <c r="J53" s="9" t="inlineStr"/>
    </row>
    <row r="54">
      <c r="A54" s="8">
        <f>IF(AND(ISBLANK(B54),ISBLANK(C54),ISBLANK(D54),ISBLANK(E54),ISBLANK(G54),ISBLANK(H54),ISBLANK(J54)),"",ROW()-6)</f>
        <v/>
      </c>
      <c r="B54" s="9" t="inlineStr">
        <is>
          <t>Dyer (Steam)</t>
        </is>
      </c>
      <c r="C54" s="8" t="inlineStr">
        <is>
          <t>set</t>
        </is>
      </c>
      <c r="D54" s="10" t="n">
        <v>8</v>
      </c>
      <c r="E54" s="11" t="n">
        <v>281866</v>
      </c>
      <c r="F54" s="12">
        <f>IF(AND(D54&lt;&gt;"",E54&lt;&gt;""),D54*E54,"")</f>
        <v/>
      </c>
      <c r="G54" s="13" t="n"/>
      <c r="H54" s="13" t="n">
        <v>100</v>
      </c>
      <c r="I54" s="14" t="inlineStr">
        <is>
          <t>II- Machinery and Equipment</t>
        </is>
      </c>
      <c r="J54" s="9" t="inlineStr"/>
    </row>
    <row r="55">
      <c r="A55" s="8">
        <f>IF(AND(ISBLANK(B55),ISBLANK(C55),ISBLANK(D55),ISBLANK(E55),ISBLANK(G55),ISBLANK(H55),ISBLANK(J55)),"",ROW()-6)</f>
        <v/>
      </c>
      <c r="B55" s="9" t="inlineStr">
        <is>
          <t>Electric Control Equipment</t>
        </is>
      </c>
      <c r="C55" s="8" t="inlineStr">
        <is>
          <t>set</t>
        </is>
      </c>
      <c r="D55" s="10" t="n">
        <v>5</v>
      </c>
      <c r="E55" s="11" t="n">
        <v>4098</v>
      </c>
      <c r="F55" s="12">
        <f>IF(AND(D55&lt;&gt;"",E55&lt;&gt;""),D55*E55,"")</f>
        <v/>
      </c>
      <c r="G55" s="13" t="n"/>
      <c r="H55" s="13" t="n">
        <v>100</v>
      </c>
      <c r="I55" s="14" t="inlineStr">
        <is>
          <t>II- Machinery and Equipment</t>
        </is>
      </c>
      <c r="J55" s="9" t="inlineStr"/>
    </row>
    <row r="56">
      <c r="A56" s="8">
        <f>IF(AND(ISBLANK(B56),ISBLANK(C56),ISBLANK(D56),ISBLANK(E56),ISBLANK(G56),ISBLANK(H56),ISBLANK(J56)),"",ROW()-6)</f>
        <v/>
      </c>
      <c r="B56" s="9" t="inlineStr">
        <is>
          <t>Electronic Control System</t>
        </is>
      </c>
      <c r="C56" s="8" t="inlineStr">
        <is>
          <t>set</t>
        </is>
      </c>
      <c r="D56" s="10" t="n">
        <v>2</v>
      </c>
      <c r="E56" s="11" t="n">
        <v>500000</v>
      </c>
      <c r="F56" s="12">
        <f>IF(AND(D56&lt;&gt;"",E56&lt;&gt;""),D56*E56,"")</f>
        <v/>
      </c>
      <c r="G56" s="13" t="n"/>
      <c r="H56" s="13" t="n">
        <v>100</v>
      </c>
      <c r="I56" s="14" t="inlineStr">
        <is>
          <t>II- Machinery and Equipment</t>
        </is>
      </c>
      <c r="J56" s="9" t="inlineStr"/>
    </row>
    <row r="57">
      <c r="A57" s="8">
        <f>IF(AND(ISBLANK(B57),ISBLANK(C57),ISBLANK(D57),ISBLANK(E57),ISBLANK(G57),ISBLANK(H57),ISBLANK(J57)),"",ROW()-6)</f>
        <v/>
      </c>
      <c r="B57" s="9" t="inlineStr">
        <is>
          <t>Electronic Control System (Used)</t>
        </is>
      </c>
      <c r="C57" s="8" t="inlineStr">
        <is>
          <t>set</t>
        </is>
      </c>
      <c r="D57" s="10" t="n">
        <v>2</v>
      </c>
      <c r="E57" s="11" t="n">
        <v>216721</v>
      </c>
      <c r="F57" s="12">
        <f>IF(AND(D57&lt;&gt;"",E57&lt;&gt;""),D57*E57,"")</f>
        <v/>
      </c>
      <c r="G57" s="13" t="n"/>
      <c r="H57" s="13" t="n">
        <v>100</v>
      </c>
      <c r="I57" s="14" t="inlineStr">
        <is>
          <t>II- Machinery and Equipment</t>
        </is>
      </c>
      <c r="J57" s="9" t="inlineStr"/>
    </row>
    <row r="58">
      <c r="A58" s="8">
        <f>IF(AND(ISBLANK(B58),ISBLANK(C58),ISBLANK(D58),ISBLANK(E58),ISBLANK(G58),ISBLANK(H58),ISBLANK(J58)),"",ROW()-6)</f>
        <v/>
      </c>
      <c r="B58" s="9" t="inlineStr">
        <is>
          <t>Electronic Control System (Touch Screen)</t>
        </is>
      </c>
      <c r="C58" s="8" t="inlineStr">
        <is>
          <t>set</t>
        </is>
      </c>
      <c r="D58" s="10" t="n">
        <v>2</v>
      </c>
      <c r="E58" s="11" t="n">
        <v>41454</v>
      </c>
      <c r="F58" s="12">
        <f>IF(AND(D58&lt;&gt;"",E58&lt;&gt;""),D58*E58,"")</f>
        <v/>
      </c>
      <c r="G58" s="13" t="n"/>
      <c r="H58" s="13" t="n">
        <v>100</v>
      </c>
      <c r="I58" s="14" t="inlineStr">
        <is>
          <t>II- Machinery and Equipment</t>
        </is>
      </c>
      <c r="J58" s="9" t="inlineStr"/>
    </row>
    <row r="59">
      <c r="A59" s="8">
        <f>IF(AND(ISBLANK(B59),ISBLANK(C59),ISBLANK(D59),ISBLANK(E59),ISBLANK(G59),ISBLANK(H59),ISBLANK(J59)),"",ROW()-6)</f>
        <v/>
      </c>
      <c r="B59" s="9" t="inlineStr">
        <is>
          <t>Elevator</t>
        </is>
      </c>
      <c r="C59" s="8" t="inlineStr">
        <is>
          <t>set</t>
        </is>
      </c>
      <c r="D59" s="10" t="n">
        <v>4</v>
      </c>
      <c r="E59" s="11" t="n">
        <v>16344</v>
      </c>
      <c r="F59" s="12">
        <f>IF(AND(D59&lt;&gt;"",E59&lt;&gt;""),D59*E59,"")</f>
        <v/>
      </c>
      <c r="G59" s="13" t="n"/>
      <c r="H59" s="13" t="n">
        <v>100</v>
      </c>
      <c r="I59" s="14" t="inlineStr">
        <is>
          <t>II- Machinery and Equipment</t>
        </is>
      </c>
      <c r="J59" s="9" t="inlineStr"/>
    </row>
    <row r="60">
      <c r="A60" s="8">
        <f>IF(AND(ISBLANK(B60),ISBLANK(C60),ISBLANK(D60),ISBLANK(E60),ISBLANK(G60),ISBLANK(H60),ISBLANK(J60)),"",ROW()-6)</f>
        <v/>
      </c>
      <c r="B60" s="9" t="inlineStr">
        <is>
          <t>Enclosed Auger</t>
        </is>
      </c>
      <c r="C60" s="8" t="inlineStr">
        <is>
          <t>set</t>
        </is>
      </c>
      <c r="D60" s="10" t="n">
        <v>5</v>
      </c>
      <c r="E60" s="11" t="n">
        <v>2969</v>
      </c>
      <c r="F60" s="12">
        <f>IF(AND(D60&lt;&gt;"",E60&lt;&gt;""),D60*E60,"")</f>
        <v/>
      </c>
      <c r="G60" s="13" t="n"/>
      <c r="H60" s="13" t="n">
        <v>100</v>
      </c>
      <c r="I60" s="14" t="inlineStr">
        <is>
          <t>II- Machinery and Equipment</t>
        </is>
      </c>
      <c r="J60" s="9" t="inlineStr"/>
    </row>
    <row r="61">
      <c r="A61" s="8">
        <f>IF(AND(ISBLANK(B61),ISBLANK(C61),ISBLANK(D61),ISBLANK(E61),ISBLANK(G61),ISBLANK(H61),ISBLANK(J61)),"",ROW()-6)</f>
        <v/>
      </c>
      <c r="B61" s="9" t="inlineStr">
        <is>
          <t>Extrusion Machine</t>
        </is>
      </c>
      <c r="C61" s="8" t="inlineStr">
        <is>
          <t>set</t>
        </is>
      </c>
      <c r="D61" s="10" t="n">
        <v>20</v>
      </c>
      <c r="E61" s="11" t="n">
        <v>40000</v>
      </c>
      <c r="F61" s="12">
        <f>IF(AND(D61&lt;&gt;"",E61&lt;&gt;""),D61*E61,"")</f>
        <v/>
      </c>
      <c r="G61" s="13" t="n"/>
      <c r="H61" s="13" t="n">
        <v>100</v>
      </c>
      <c r="I61" s="14" t="inlineStr">
        <is>
          <t>II- Machinery and Equipment</t>
        </is>
      </c>
      <c r="J61" s="9" t="inlineStr"/>
    </row>
    <row r="62">
      <c r="A62" s="8">
        <f>IF(AND(ISBLANK(B62),ISBLANK(C62),ISBLANK(D62),ISBLANK(E62),ISBLANK(G62),ISBLANK(H62),ISBLANK(J62)),"",ROW()-6)</f>
        <v/>
      </c>
      <c r="B62" s="9" t="inlineStr">
        <is>
          <t>Feeder</t>
        </is>
      </c>
      <c r="C62" s="8" t="inlineStr">
        <is>
          <t>set</t>
        </is>
      </c>
      <c r="D62" s="10" t="n">
        <v>20</v>
      </c>
      <c r="E62" s="11" t="n">
        <v>4150</v>
      </c>
      <c r="F62" s="12">
        <f>IF(AND(D62&lt;&gt;"",E62&lt;&gt;""),D62*E62,"")</f>
        <v/>
      </c>
      <c r="G62" s="13" t="n"/>
      <c r="H62" s="13" t="n">
        <v>100</v>
      </c>
      <c r="I62" s="14" t="inlineStr">
        <is>
          <t>II- Machinery and Equipment</t>
        </is>
      </c>
      <c r="J62" s="9" t="inlineStr"/>
    </row>
    <row r="63">
      <c r="A63" s="8">
        <f>IF(AND(ISBLANK(B63),ISBLANK(C63),ISBLANK(D63),ISBLANK(E63),ISBLANK(G63),ISBLANK(H63),ISBLANK(J63)),"",ROW()-6)</f>
        <v/>
      </c>
      <c r="B63" s="9" t="inlineStr">
        <is>
          <t>Feeding Port</t>
        </is>
      </c>
      <c r="C63" s="8" t="inlineStr">
        <is>
          <t>set</t>
        </is>
      </c>
      <c r="D63" s="10" t="n">
        <v>10</v>
      </c>
      <c r="E63" s="11" t="n">
        <v>591</v>
      </c>
      <c r="F63" s="12">
        <f>IF(AND(D63&lt;&gt;"",E63&lt;&gt;""),D63*E63,"")</f>
        <v/>
      </c>
      <c r="G63" s="13" t="n"/>
      <c r="H63" s="13" t="n">
        <v>100</v>
      </c>
      <c r="I63" s="14" t="inlineStr">
        <is>
          <t>II- Machinery and Equipment</t>
        </is>
      </c>
      <c r="J63" s="9" t="inlineStr"/>
    </row>
    <row r="64">
      <c r="A64" s="8">
        <f>IF(AND(ISBLANK(B64),ISBLANK(C64),ISBLANK(D64),ISBLANK(E64),ISBLANK(G64),ISBLANK(H64),ISBLANK(J64)),"",ROW()-6)</f>
        <v/>
      </c>
      <c r="B64" s="9" t="inlineStr">
        <is>
          <t>Feeding Port (Used)</t>
        </is>
      </c>
      <c r="C64" s="8" t="inlineStr">
        <is>
          <t>set</t>
        </is>
      </c>
      <c r="D64" s="10" t="n">
        <v>5</v>
      </c>
      <c r="E64" s="11" t="n">
        <v>297</v>
      </c>
      <c r="F64" s="12">
        <f>IF(AND(D64&lt;&gt;"",E64&lt;&gt;""),D64*E64,"")</f>
        <v/>
      </c>
      <c r="G64" s="13" t="n"/>
      <c r="H64" s="13" t="n">
        <v>100</v>
      </c>
      <c r="I64" s="14" t="inlineStr">
        <is>
          <t>II- Machinery and Equipment</t>
        </is>
      </c>
      <c r="J64" s="9" t="inlineStr"/>
    </row>
    <row r="65">
      <c r="A65" s="8">
        <f>IF(AND(ISBLANK(B65),ISBLANK(C65),ISBLANK(D65),ISBLANK(E65),ISBLANK(G65),ISBLANK(H65),ISBLANK(J65)),"",ROW()-6)</f>
        <v/>
      </c>
      <c r="B65" s="9" t="inlineStr">
        <is>
          <t>Finished Product Bin</t>
        </is>
      </c>
      <c r="C65" s="8" t="inlineStr">
        <is>
          <t>set</t>
        </is>
      </c>
      <c r="D65" s="10" t="n">
        <v>5</v>
      </c>
      <c r="E65" s="11" t="n">
        <v>2289</v>
      </c>
      <c r="F65" s="12">
        <f>IF(AND(D65&lt;&gt;"",E65&lt;&gt;""),D65*E65,"")</f>
        <v/>
      </c>
      <c r="G65" s="13" t="n"/>
      <c r="H65" s="13" t="n">
        <v>100</v>
      </c>
      <c r="I65" s="14" t="inlineStr">
        <is>
          <t>II- Machinery and Equipment</t>
        </is>
      </c>
      <c r="J65" s="9" t="inlineStr"/>
    </row>
    <row r="66">
      <c r="A66" s="8">
        <f>IF(AND(ISBLANK(B66),ISBLANK(C66),ISBLANK(D66),ISBLANK(E66),ISBLANK(G66),ISBLANK(H66),ISBLANK(J66)),"",ROW()-6)</f>
        <v/>
      </c>
      <c r="B66" s="9" t="inlineStr">
        <is>
          <t>Flap Cooler</t>
        </is>
      </c>
      <c r="C66" s="8" t="inlineStr">
        <is>
          <t>set</t>
        </is>
      </c>
      <c r="D66" s="10" t="n">
        <v>5</v>
      </c>
      <c r="E66" s="11" t="n">
        <v>23450</v>
      </c>
      <c r="F66" s="12">
        <f>IF(AND(D66&lt;&gt;"",E66&lt;&gt;""),D66*E66,"")</f>
        <v/>
      </c>
      <c r="G66" s="13" t="n"/>
      <c r="H66" s="13" t="n">
        <v>100</v>
      </c>
      <c r="I66" s="14" t="inlineStr">
        <is>
          <t>II- Machinery and Equipment</t>
        </is>
      </c>
      <c r="J66" s="9" t="inlineStr"/>
    </row>
    <row r="67">
      <c r="A67" s="8">
        <f>IF(AND(ISBLANK(B67),ISBLANK(C67),ISBLANK(D67),ISBLANK(E67),ISBLANK(G67),ISBLANK(H67),ISBLANK(J67)),"",ROW()-6)</f>
        <v/>
      </c>
      <c r="B67" s="9" t="inlineStr">
        <is>
          <t>Food Injection Molding Machine (Mixed Color)</t>
        </is>
      </c>
      <c r="C67" s="8" t="inlineStr">
        <is>
          <t>set</t>
        </is>
      </c>
      <c r="D67" s="10" t="n">
        <v>10</v>
      </c>
      <c r="E67" s="11" t="n">
        <v>80000</v>
      </c>
      <c r="F67" s="12">
        <f>IF(AND(D67&lt;&gt;"",E67&lt;&gt;""),D67*E67,"")</f>
        <v/>
      </c>
      <c r="G67" s="13" t="n"/>
      <c r="H67" s="13" t="n">
        <v>100</v>
      </c>
      <c r="I67" s="14" t="inlineStr">
        <is>
          <t>II- Machinery and Equipment</t>
        </is>
      </c>
      <c r="J67" s="9" t="inlineStr"/>
    </row>
    <row r="68">
      <c r="A68" s="8">
        <f>IF(AND(ISBLANK(B68),ISBLANK(C68),ISBLANK(D68),ISBLANK(E68),ISBLANK(G68),ISBLANK(H68),ISBLANK(J68)),"",ROW()-6)</f>
        <v/>
      </c>
      <c r="B68" s="9" t="inlineStr">
        <is>
          <t>Food Injection Molding Machine (Single Color)</t>
        </is>
      </c>
      <c r="C68" s="8" t="inlineStr">
        <is>
          <t>set</t>
        </is>
      </c>
      <c r="D68" s="10" t="n">
        <v>10</v>
      </c>
      <c r="E68" s="11" t="n">
        <v>43000</v>
      </c>
      <c r="F68" s="12">
        <f>IF(AND(D68&lt;&gt;"",E68&lt;&gt;""),D68*E68,"")</f>
        <v/>
      </c>
      <c r="G68" s="13" t="n"/>
      <c r="H68" s="13" t="n">
        <v>100</v>
      </c>
      <c r="I68" s="14" t="inlineStr">
        <is>
          <t>II- Machinery and Equipment</t>
        </is>
      </c>
      <c r="J68" s="9" t="inlineStr"/>
    </row>
    <row r="69">
      <c r="A69" s="8">
        <f>IF(AND(ISBLANK(B69),ISBLANK(C69),ISBLANK(D69),ISBLANK(E69),ISBLANK(G69),ISBLANK(H69),ISBLANK(J69)),"",ROW()-6)</f>
        <v/>
      </c>
      <c r="B69" s="9" t="inlineStr">
        <is>
          <t>Grizzly Screen and Feed Hopper</t>
        </is>
      </c>
      <c r="C69" s="8" t="inlineStr">
        <is>
          <t>set</t>
        </is>
      </c>
      <c r="D69" s="10" t="n">
        <v>5</v>
      </c>
      <c r="E69" s="11" t="n">
        <v>3315</v>
      </c>
      <c r="F69" s="12">
        <f>IF(AND(D69&lt;&gt;"",E69&lt;&gt;""),D69*E69,"")</f>
        <v/>
      </c>
      <c r="G69" s="13" t="n"/>
      <c r="H69" s="13" t="n">
        <v>100</v>
      </c>
      <c r="I69" s="14" t="inlineStr">
        <is>
          <t>II- Machinery and Equipment</t>
        </is>
      </c>
      <c r="J69" s="9" t="inlineStr"/>
    </row>
    <row r="70">
      <c r="A70" s="8">
        <f>IF(AND(ISBLANK(B70),ISBLANK(C70),ISBLANK(D70),ISBLANK(E70),ISBLANK(G70),ISBLANK(H70),ISBLANK(J70)),"",ROW()-6)</f>
        <v/>
      </c>
      <c r="B70" s="9" t="inlineStr">
        <is>
          <t>Hot Water Circulation System</t>
        </is>
      </c>
      <c r="C70" s="8" t="inlineStr">
        <is>
          <t>set</t>
        </is>
      </c>
      <c r="D70" s="10" t="n">
        <v>5</v>
      </c>
      <c r="E70" s="11" t="n">
        <v>7126</v>
      </c>
      <c r="F70" s="12">
        <f>IF(AND(D70&lt;&gt;"",E70&lt;&gt;""),D70*E70,"")</f>
        <v/>
      </c>
      <c r="G70" s="13" t="n"/>
      <c r="H70" s="13" t="n">
        <v>100</v>
      </c>
      <c r="I70" s="14" t="inlineStr">
        <is>
          <t>II- Machinery and Equipment</t>
        </is>
      </c>
      <c r="J70" s="9" t="inlineStr"/>
    </row>
    <row r="71">
      <c r="A71" s="8">
        <f>IF(AND(ISBLANK(B71),ISBLANK(C71),ISBLANK(D71),ISBLANK(E71),ISBLANK(G71),ISBLANK(H71),ISBLANK(J71)),"",ROW()-6)</f>
        <v/>
      </c>
      <c r="B71" s="9" t="inlineStr">
        <is>
          <t>Impurity Bin</t>
        </is>
      </c>
      <c r="C71" s="8" t="inlineStr">
        <is>
          <t>set</t>
        </is>
      </c>
      <c r="D71" s="10" t="n">
        <v>10</v>
      </c>
      <c r="E71" s="11" t="n">
        <v>533</v>
      </c>
      <c r="F71" s="12">
        <f>IF(AND(D71&lt;&gt;"",E71&lt;&gt;""),D71*E71,"")</f>
        <v/>
      </c>
      <c r="G71" s="13" t="n"/>
      <c r="H71" s="13" t="n">
        <v>100</v>
      </c>
      <c r="I71" s="14" t="inlineStr">
        <is>
          <t>II- Machinery and Equipment</t>
        </is>
      </c>
      <c r="J71" s="9" t="inlineStr"/>
    </row>
    <row r="72">
      <c r="A72" s="8">
        <f>IF(AND(ISBLANK(B72),ISBLANK(C72),ISBLANK(D72),ISBLANK(E72),ISBLANK(G72),ISBLANK(H72),ISBLANK(J72)),"",ROW()-6)</f>
        <v/>
      </c>
      <c r="B72" s="9" t="inlineStr">
        <is>
          <t>Irradiation Machine</t>
        </is>
      </c>
      <c r="C72" s="8" t="inlineStr">
        <is>
          <t>set</t>
        </is>
      </c>
      <c r="D72" s="10" t="n">
        <v>3</v>
      </c>
      <c r="E72" s="11" t="n">
        <v>1200000</v>
      </c>
      <c r="F72" s="12">
        <f>IF(AND(D72&lt;&gt;"",E72&lt;&gt;""),D72*E72,"")</f>
        <v/>
      </c>
      <c r="G72" s="13" t="n"/>
      <c r="H72" s="13" t="n">
        <v>100</v>
      </c>
      <c r="I72" s="14" t="inlineStr">
        <is>
          <t>II- Machinery and Equipment</t>
        </is>
      </c>
      <c r="J72" s="9" t="inlineStr"/>
    </row>
    <row r="73">
      <c r="A73" s="8">
        <f>IF(AND(ISBLANK(B73),ISBLANK(C73),ISBLANK(D73),ISBLANK(E73),ISBLANK(G73),ISBLANK(H73),ISBLANK(J73)),"",ROW()-6)</f>
        <v/>
      </c>
      <c r="B73" s="9" t="inlineStr">
        <is>
          <t>Lower Level Indicator#1</t>
        </is>
      </c>
      <c r="C73" s="8" t="inlineStr">
        <is>
          <t>set</t>
        </is>
      </c>
      <c r="D73" s="10" t="n">
        <v>25</v>
      </c>
      <c r="E73" s="11" t="n">
        <v>357</v>
      </c>
      <c r="F73" s="12">
        <f>IF(AND(D73&lt;&gt;"",E73&lt;&gt;""),D73*E73,"")</f>
        <v/>
      </c>
      <c r="G73" s="13" t="n"/>
      <c r="H73" s="13" t="n">
        <v>100</v>
      </c>
      <c r="I73" s="14" t="inlineStr">
        <is>
          <t>II- Machinery and Equipment</t>
        </is>
      </c>
      <c r="J73" s="9" t="inlineStr"/>
    </row>
    <row r="74">
      <c r="A74" s="8">
        <f>IF(AND(ISBLANK(B74),ISBLANK(C74),ISBLANK(D74),ISBLANK(E74),ISBLANK(G74),ISBLANK(H74),ISBLANK(J74)),"",ROW()-6)</f>
        <v/>
      </c>
      <c r="B74" s="9" t="inlineStr">
        <is>
          <t>Lower Level Indicator#2</t>
        </is>
      </c>
      <c r="C74" s="8" t="inlineStr">
        <is>
          <t>set</t>
        </is>
      </c>
      <c r="D74" s="10" t="n">
        <v>10</v>
      </c>
      <c r="E74" s="11" t="n">
        <v>347</v>
      </c>
      <c r="F74" s="12">
        <f>IF(AND(D74&lt;&gt;"",E74&lt;&gt;""),D74*E74,"")</f>
        <v/>
      </c>
      <c r="G74" s="13" t="n"/>
      <c r="H74" s="13" t="n">
        <v>100</v>
      </c>
      <c r="I74" s="14" t="inlineStr">
        <is>
          <t>II- Machinery and Equipment</t>
        </is>
      </c>
      <c r="J74" s="9" t="inlineStr"/>
    </row>
    <row r="75">
      <c r="A75" s="8">
        <f>IF(AND(ISBLANK(B75),ISBLANK(C75),ISBLANK(D75),ISBLANK(E75),ISBLANK(G75),ISBLANK(H75),ISBLANK(J75)),"",ROW()-6)</f>
        <v/>
      </c>
      <c r="B75" s="9" t="inlineStr">
        <is>
          <t>Manual Butterfly Valve#1</t>
        </is>
      </c>
      <c r="C75" s="8" t="inlineStr">
        <is>
          <t>set</t>
        </is>
      </c>
      <c r="D75" s="10" t="n">
        <v>8</v>
      </c>
      <c r="E75" s="11" t="n">
        <v>119</v>
      </c>
      <c r="F75" s="12">
        <f>IF(AND(D75&lt;&gt;"",E75&lt;&gt;""),D75*E75,"")</f>
        <v/>
      </c>
      <c r="G75" s="13" t="n"/>
      <c r="H75" s="13" t="n">
        <v>100</v>
      </c>
      <c r="I75" s="14" t="inlineStr">
        <is>
          <t>II- Machinery and Equipment</t>
        </is>
      </c>
      <c r="J75" s="9" t="inlineStr"/>
    </row>
    <row r="76">
      <c r="A76" s="8">
        <f>IF(AND(ISBLANK(B76),ISBLANK(C76),ISBLANK(D76),ISBLANK(E76),ISBLANK(G76),ISBLANK(H76),ISBLANK(J76)),"",ROW()-6)</f>
        <v/>
      </c>
      <c r="B76" s="9" t="inlineStr">
        <is>
          <t>Manual Butterfly Valve#2</t>
        </is>
      </c>
      <c r="C76" s="8" t="inlineStr">
        <is>
          <t>set</t>
        </is>
      </c>
      <c r="D76" s="10" t="n">
        <v>8</v>
      </c>
      <c r="E76" s="11" t="n">
        <v>788</v>
      </c>
      <c r="F76" s="12">
        <f>IF(AND(D76&lt;&gt;"",E76&lt;&gt;""),D76*E76,"")</f>
        <v/>
      </c>
      <c r="G76" s="13" t="n"/>
      <c r="H76" s="13" t="n">
        <v>100</v>
      </c>
      <c r="I76" s="14" t="inlineStr">
        <is>
          <t>II- Machinery and Equipment</t>
        </is>
      </c>
      <c r="J76" s="9" t="inlineStr"/>
    </row>
    <row r="77">
      <c r="A77" s="8">
        <f>IF(AND(ISBLANK(B77),ISBLANK(C77),ISBLANK(D77),ISBLANK(E77),ISBLANK(G77),ISBLANK(H77),ISBLANK(J77)),"",ROW()-6)</f>
        <v/>
      </c>
      <c r="B77" s="9" t="inlineStr">
        <is>
          <t>Manual Gate</t>
        </is>
      </c>
      <c r="C77" s="8" t="inlineStr">
        <is>
          <t>set</t>
        </is>
      </c>
      <c r="D77" s="10" t="n">
        <v>5</v>
      </c>
      <c r="E77" s="11" t="n">
        <v>1036</v>
      </c>
      <c r="F77" s="12">
        <f>IF(AND(D77&lt;&gt;"",E77&lt;&gt;""),D77*E77,"")</f>
        <v/>
      </c>
      <c r="G77" s="13" t="n"/>
      <c r="H77" s="13" t="n">
        <v>100</v>
      </c>
      <c r="I77" s="14" t="inlineStr">
        <is>
          <t>II- Machinery and Equipment</t>
        </is>
      </c>
      <c r="J77" s="9" t="inlineStr"/>
    </row>
    <row r="78">
      <c r="A78" s="8">
        <f>IF(AND(ISBLANK(B78),ISBLANK(C78),ISBLANK(D78),ISBLANK(E78),ISBLANK(G78),ISBLANK(H78),ISBLANK(J78)),"",ROW()-6)</f>
        <v/>
      </c>
      <c r="B78" s="9" t="inlineStr">
        <is>
          <t>Manual Packing Valve#1</t>
        </is>
      </c>
      <c r="C78" s="8" t="inlineStr">
        <is>
          <t>set</t>
        </is>
      </c>
      <c r="D78" s="10" t="n">
        <v>5</v>
      </c>
      <c r="E78" s="11" t="n">
        <v>125</v>
      </c>
      <c r="F78" s="12">
        <f>IF(AND(D78&lt;&gt;"",E78&lt;&gt;""),D78*E78,"")</f>
        <v/>
      </c>
      <c r="G78" s="13" t="n"/>
      <c r="H78" s="13" t="n">
        <v>100</v>
      </c>
      <c r="I78" s="14" t="inlineStr">
        <is>
          <t>II- Machinery and Equipment</t>
        </is>
      </c>
      <c r="J78" s="9" t="inlineStr"/>
    </row>
    <row r="79">
      <c r="A79" s="8">
        <f>IF(AND(ISBLANK(B79),ISBLANK(C79),ISBLANK(D79),ISBLANK(E79),ISBLANK(G79),ISBLANK(H79),ISBLANK(J79)),"",ROW()-6)</f>
        <v/>
      </c>
      <c r="B79" s="9" t="inlineStr">
        <is>
          <t>Manual Packing Valve#2</t>
        </is>
      </c>
      <c r="C79" s="8" t="inlineStr">
        <is>
          <t>set</t>
        </is>
      </c>
      <c r="D79" s="10" t="n">
        <v>5</v>
      </c>
      <c r="E79" s="11" t="n">
        <v>119</v>
      </c>
      <c r="F79" s="12">
        <f>IF(AND(D79&lt;&gt;"",E79&lt;&gt;""),D79*E79,"")</f>
        <v/>
      </c>
      <c r="G79" s="13" t="n"/>
      <c r="H79" s="13" t="n">
        <v>100</v>
      </c>
      <c r="I79" s="14" t="inlineStr">
        <is>
          <t>II- Machinery and Equipment</t>
        </is>
      </c>
      <c r="J79" s="9" t="inlineStr"/>
    </row>
    <row r="80">
      <c r="A80" s="8">
        <f>IF(AND(ISBLANK(B80),ISBLANK(C80),ISBLANK(D80),ISBLANK(E80),ISBLANK(G80),ISBLANK(H80),ISBLANK(J80)),"",ROW()-6)</f>
        <v/>
      </c>
      <c r="B80" s="9" t="inlineStr">
        <is>
          <t>Manual Plunger</t>
        </is>
      </c>
      <c r="C80" s="8" t="inlineStr">
        <is>
          <t>set</t>
        </is>
      </c>
      <c r="D80" s="10" t="n">
        <v>5</v>
      </c>
      <c r="E80" s="11" t="n">
        <v>119</v>
      </c>
      <c r="F80" s="12">
        <f>IF(AND(D80&lt;&gt;"",E80&lt;&gt;""),D80*E80,"")</f>
        <v/>
      </c>
      <c r="G80" s="13" t="n"/>
      <c r="H80" s="13" t="n">
        <v>100</v>
      </c>
      <c r="I80" s="14" t="inlineStr">
        <is>
          <t>II- Machinery and Equipment</t>
        </is>
      </c>
      <c r="J80" s="9" t="inlineStr"/>
    </row>
    <row r="81">
      <c r="A81" s="8">
        <f>IF(AND(ISBLANK(B81),ISBLANK(C81),ISBLANK(D81),ISBLANK(E81),ISBLANK(G81),ISBLANK(H81),ISBLANK(J81)),"",ROW()-6)</f>
        <v/>
      </c>
      <c r="B81" s="9" t="inlineStr">
        <is>
          <t>Material To Be Crushed Bin</t>
        </is>
      </c>
      <c r="C81" s="8" t="inlineStr">
        <is>
          <t>set</t>
        </is>
      </c>
      <c r="D81" s="10" t="n">
        <v>5</v>
      </c>
      <c r="E81" s="11" t="n">
        <v>2732</v>
      </c>
      <c r="F81" s="12">
        <f>IF(AND(D81&lt;&gt;"",E81&lt;&gt;""),D81*E81,"")</f>
        <v/>
      </c>
      <c r="G81" s="13" t="n"/>
      <c r="H81" s="13" t="n">
        <v>100</v>
      </c>
      <c r="I81" s="14" t="inlineStr">
        <is>
          <t>II- Machinery and Equipment</t>
        </is>
      </c>
      <c r="J81" s="9" t="inlineStr"/>
    </row>
    <row r="82">
      <c r="A82" s="8">
        <f>IF(AND(ISBLANK(B82),ISBLANK(C82),ISBLANK(D82),ISBLANK(E82),ISBLANK(G82),ISBLANK(H82),ISBLANK(J82)),"",ROW()-6)</f>
        <v/>
      </c>
      <c r="B82" s="9" t="inlineStr">
        <is>
          <t>Material To Be Expanded Bin</t>
        </is>
      </c>
      <c r="C82" s="8" t="inlineStr">
        <is>
          <t>set</t>
        </is>
      </c>
      <c r="D82" s="10" t="n">
        <v>5</v>
      </c>
      <c r="E82" s="11" t="n">
        <v>5685</v>
      </c>
      <c r="F82" s="12">
        <f>IF(AND(D82&lt;&gt;"",E82&lt;&gt;""),D82*E82,"")</f>
        <v/>
      </c>
      <c r="G82" s="13" t="n"/>
      <c r="H82" s="13" t="n">
        <v>100</v>
      </c>
      <c r="I82" s="14" t="inlineStr">
        <is>
          <t>II- Machinery and Equipment</t>
        </is>
      </c>
      <c r="J82" s="9" t="inlineStr"/>
    </row>
    <row r="83">
      <c r="A83" s="8">
        <f>IF(AND(ISBLANK(B83),ISBLANK(C83),ISBLANK(D83),ISBLANK(E83),ISBLANK(G83),ISBLANK(H83),ISBLANK(J83)),"",ROW()-6)</f>
        <v/>
      </c>
      <c r="B83" s="9" t="inlineStr">
        <is>
          <t>Meat Grinder</t>
        </is>
      </c>
      <c r="C83" s="8" t="inlineStr">
        <is>
          <t>set</t>
        </is>
      </c>
      <c r="D83" s="10" t="n">
        <v>8</v>
      </c>
      <c r="E83" s="11" t="n">
        <v>4000</v>
      </c>
      <c r="F83" s="12">
        <f>IF(AND(D83&lt;&gt;"",E83&lt;&gt;""),D83*E83,"")</f>
        <v/>
      </c>
      <c r="G83" s="13" t="n"/>
      <c r="H83" s="13" t="n">
        <v>100</v>
      </c>
      <c r="I83" s="14" t="inlineStr">
        <is>
          <t>II- Machinery and Equipment</t>
        </is>
      </c>
      <c r="J83" s="9" t="inlineStr"/>
    </row>
    <row r="84">
      <c r="A84" s="8">
        <f>IF(AND(ISBLANK(B84),ISBLANK(C84),ISBLANK(D84),ISBLANK(E84),ISBLANK(G84),ISBLANK(H84),ISBLANK(J84)),"",ROW()-6)</f>
        <v/>
      </c>
      <c r="B84" s="9" t="inlineStr">
        <is>
          <t>Mixing Machine</t>
        </is>
      </c>
      <c r="C84" s="8" t="inlineStr">
        <is>
          <t>set</t>
        </is>
      </c>
      <c r="D84" s="10" t="n">
        <v>8</v>
      </c>
      <c r="E84" s="11" t="n">
        <v>7800</v>
      </c>
      <c r="F84" s="12">
        <f>IF(AND(D84&lt;&gt;"",E84&lt;&gt;""),D84*E84,"")</f>
        <v/>
      </c>
      <c r="G84" s="13" t="n"/>
      <c r="H84" s="13" t="n">
        <v>100</v>
      </c>
      <c r="I84" s="14" t="inlineStr">
        <is>
          <t>II- Machinery and Equipment</t>
        </is>
      </c>
      <c r="J84" s="9" t="inlineStr"/>
    </row>
    <row r="85">
      <c r="A85" s="8">
        <f>IF(AND(ISBLANK(B85),ISBLANK(C85),ISBLANK(D85),ISBLANK(E85),ISBLANK(G85),ISBLANK(H85),ISBLANK(J85)),"",ROW()-6)</f>
        <v/>
      </c>
      <c r="B85" s="9" t="inlineStr">
        <is>
          <t>Moisture Exhaust Air Network</t>
        </is>
      </c>
      <c r="C85" s="8" t="inlineStr">
        <is>
          <t>set</t>
        </is>
      </c>
      <c r="D85" s="10" t="n">
        <v>2</v>
      </c>
      <c r="E85" s="11" t="n">
        <v>8053</v>
      </c>
      <c r="F85" s="12">
        <f>IF(AND(D85&lt;&gt;"",E85&lt;&gt;""),D85*E85,"")</f>
        <v/>
      </c>
      <c r="G85" s="13" t="n"/>
      <c r="H85" s="13" t="n">
        <v>100</v>
      </c>
      <c r="I85" s="14" t="inlineStr">
        <is>
          <t>II- Machinery and Equipment</t>
        </is>
      </c>
      <c r="J85" s="9" t="inlineStr"/>
    </row>
    <row r="86">
      <c r="A86" s="8">
        <f>IF(AND(ISBLANK(B86),ISBLANK(C86),ISBLANK(D86),ISBLANK(E86),ISBLANK(G86),ISBLANK(H86),ISBLANK(J86)),"",ROW()-6)</f>
        <v/>
      </c>
      <c r="B86" s="9" t="inlineStr">
        <is>
          <t>Multi-Stage Gate</t>
        </is>
      </c>
      <c r="C86" s="8" t="inlineStr">
        <is>
          <t>set</t>
        </is>
      </c>
      <c r="D86" s="10" t="n">
        <v>2</v>
      </c>
      <c r="E86" s="11" t="n">
        <v>1065</v>
      </c>
      <c r="F86" s="12">
        <f>IF(AND(D86&lt;&gt;"",E86&lt;&gt;""),D86*E86,"")</f>
        <v/>
      </c>
      <c r="G86" s="13" t="n"/>
      <c r="H86" s="13" t="n">
        <v>100</v>
      </c>
      <c r="I86" s="14" t="inlineStr">
        <is>
          <t>II- Machinery and Equipment</t>
        </is>
      </c>
      <c r="J86" s="9" t="inlineStr"/>
    </row>
    <row r="87">
      <c r="A87" s="8">
        <f>IF(AND(ISBLANK(B87),ISBLANK(C87),ISBLANK(D87),ISBLANK(E87),ISBLANK(G87),ISBLANK(H87),ISBLANK(J87)),"",ROW()-6)</f>
        <v/>
      </c>
      <c r="B87" s="9" t="inlineStr">
        <is>
          <t>Non-Standard Equipment and On-Site Installation Materials#1</t>
        </is>
      </c>
      <c r="C87" s="8" t="inlineStr">
        <is>
          <t>set</t>
        </is>
      </c>
      <c r="D87" s="10" t="n">
        <v>2</v>
      </c>
      <c r="E87" s="11" t="n">
        <v>66232</v>
      </c>
      <c r="F87" s="12">
        <f>IF(AND(D87&lt;&gt;"",E87&lt;&gt;""),D87*E87,"")</f>
        <v/>
      </c>
      <c r="G87" s="13" t="n"/>
      <c r="H87" s="13" t="n">
        <v>100</v>
      </c>
      <c r="I87" s="14" t="inlineStr">
        <is>
          <t>II- Machinery and Equipment</t>
        </is>
      </c>
      <c r="J87" s="9" t="inlineStr"/>
    </row>
    <row r="88">
      <c r="A88" s="8">
        <f>IF(AND(ISBLANK(B88),ISBLANK(C88),ISBLANK(D88),ISBLANK(E88),ISBLANK(G88),ISBLANK(H88),ISBLANK(J88)),"",ROW()-6)</f>
        <v/>
      </c>
      <c r="B88" s="9" t="inlineStr">
        <is>
          <t>Non-Standard Equipment and On-Site Installation Materials#2</t>
        </is>
      </c>
      <c r="C88" s="8" t="inlineStr">
        <is>
          <t>set</t>
        </is>
      </c>
      <c r="D88" s="10" t="n">
        <v>2</v>
      </c>
      <c r="E88" s="11" t="n">
        <v>2522</v>
      </c>
      <c r="F88" s="12">
        <f>IF(AND(D88&lt;&gt;"",E88&lt;&gt;""),D88*E88,"")</f>
        <v/>
      </c>
      <c r="G88" s="13" t="n"/>
      <c r="H88" s="13" t="n">
        <v>100</v>
      </c>
      <c r="I88" s="14" t="inlineStr">
        <is>
          <t>II- Machinery and Equipment</t>
        </is>
      </c>
      <c r="J88" s="9" t="inlineStr"/>
    </row>
    <row r="89">
      <c r="A89" s="8">
        <f>IF(AND(ISBLANK(B89),ISBLANK(C89),ISBLANK(D89),ISBLANK(E89),ISBLANK(G89),ISBLANK(H89),ISBLANK(J89)),"",ROW()-6)</f>
        <v/>
      </c>
      <c r="B89" s="9" t="inlineStr">
        <is>
          <t>Oil Addition System</t>
        </is>
      </c>
      <c r="C89" s="8" t="inlineStr">
        <is>
          <t>set</t>
        </is>
      </c>
      <c r="D89" s="10" t="n">
        <v>3</v>
      </c>
      <c r="E89" s="11" t="n">
        <v>49885</v>
      </c>
      <c r="F89" s="12">
        <f>IF(AND(D89&lt;&gt;"",E89&lt;&gt;""),D89*E89,"")</f>
        <v/>
      </c>
      <c r="G89" s="13" t="n"/>
      <c r="H89" s="13" t="n">
        <v>100</v>
      </c>
      <c r="I89" s="14" t="inlineStr">
        <is>
          <t>II- Machinery and Equipment</t>
        </is>
      </c>
      <c r="J89" s="9" t="inlineStr"/>
    </row>
    <row r="90">
      <c r="A90" s="8">
        <f>IF(AND(ISBLANK(B90),ISBLANK(C90),ISBLANK(D90),ISBLANK(E90),ISBLANK(G90),ISBLANK(H90),ISBLANK(J90)),"",ROW()-6)</f>
        <v/>
      </c>
      <c r="B90" s="9" t="inlineStr">
        <is>
          <t>Permanent Magnetic Drum</t>
        </is>
      </c>
      <c r="C90" s="8" t="inlineStr">
        <is>
          <t>set</t>
        </is>
      </c>
      <c r="D90" s="10" t="n">
        <v>6</v>
      </c>
      <c r="E90" s="11" t="n">
        <v>1719</v>
      </c>
      <c r="F90" s="12">
        <f>IF(AND(D90&lt;&gt;"",E90&lt;&gt;""),D90*E90,"")</f>
        <v/>
      </c>
      <c r="G90" s="13" t="n"/>
      <c r="H90" s="13" t="n">
        <v>100</v>
      </c>
      <c r="I90" s="14" t="inlineStr">
        <is>
          <t>II- Machinery and Equipment</t>
        </is>
      </c>
      <c r="J90" s="9" t="inlineStr"/>
    </row>
    <row r="91">
      <c r="A91" s="8">
        <f>IF(AND(ISBLANK(B91),ISBLANK(C91),ISBLANK(D91),ISBLANK(E91),ISBLANK(G91),ISBLANK(H91),ISBLANK(J91)),"",ROW()-6)</f>
        <v/>
      </c>
      <c r="B91" s="9" t="inlineStr">
        <is>
          <t>Pneumatic Butterfly Valve#1</t>
        </is>
      </c>
      <c r="C91" s="8" t="inlineStr">
        <is>
          <t>set</t>
        </is>
      </c>
      <c r="D91" s="10" t="n">
        <v>5</v>
      </c>
      <c r="E91" s="11" t="n">
        <v>237</v>
      </c>
      <c r="F91" s="12">
        <f>IF(AND(D91&lt;&gt;"",E91&lt;&gt;""),D91*E91,"")</f>
        <v/>
      </c>
      <c r="G91" s="13" t="n"/>
      <c r="H91" s="13" t="n">
        <v>100</v>
      </c>
      <c r="I91" s="14" t="inlineStr">
        <is>
          <t>II- Machinery and Equipment</t>
        </is>
      </c>
      <c r="J91" s="9" t="inlineStr"/>
    </row>
    <row r="92">
      <c r="A92" s="8">
        <f>IF(AND(ISBLANK(B92),ISBLANK(C92),ISBLANK(D92),ISBLANK(E92),ISBLANK(G92),ISBLANK(H92),ISBLANK(J92)),"",ROW()-6)</f>
        <v/>
      </c>
      <c r="B92" s="9" t="inlineStr">
        <is>
          <t>Pneumatic Butterfly Valve#2</t>
        </is>
      </c>
      <c r="C92" s="8" t="inlineStr">
        <is>
          <t>set</t>
        </is>
      </c>
      <c r="D92" s="10" t="n">
        <v>5</v>
      </c>
      <c r="E92" s="11" t="n">
        <v>1575</v>
      </c>
      <c r="F92" s="12">
        <f>IF(AND(D92&lt;&gt;"",E92&lt;&gt;""),D92*E92,"")</f>
        <v/>
      </c>
      <c r="G92" s="13" t="n"/>
      <c r="H92" s="13" t="n">
        <v>100</v>
      </c>
      <c r="I92" s="14" t="inlineStr">
        <is>
          <t>II- Machinery and Equipment</t>
        </is>
      </c>
      <c r="J92" s="9" t="inlineStr"/>
    </row>
    <row r="93">
      <c r="A93" s="8">
        <f>IF(AND(ISBLANK(B93),ISBLANK(C93),ISBLANK(D93),ISBLANK(E93),ISBLANK(G93),ISBLANK(H93),ISBLANK(J93)),"",ROW()-6)</f>
        <v/>
      </c>
      <c r="B93" s="9" t="inlineStr">
        <is>
          <t>Pneumatic Butterfly Valve#3</t>
        </is>
      </c>
      <c r="C93" s="8" t="inlineStr">
        <is>
          <t>set</t>
        </is>
      </c>
      <c r="D93" s="10" t="n">
        <v>5</v>
      </c>
      <c r="E93" s="11" t="n">
        <v>238</v>
      </c>
      <c r="F93" s="12">
        <f>IF(AND(D93&lt;&gt;"",E93&lt;&gt;""),D93*E93,"")</f>
        <v/>
      </c>
      <c r="G93" s="13" t="n"/>
      <c r="H93" s="13" t="n">
        <v>100</v>
      </c>
      <c r="I93" s="14" t="inlineStr">
        <is>
          <t>II- Machinery and Equipment</t>
        </is>
      </c>
      <c r="J93" s="9" t="inlineStr"/>
    </row>
    <row r="94">
      <c r="A94" s="8">
        <f>IF(AND(ISBLANK(B94),ISBLANK(C94),ISBLANK(D94),ISBLANK(E94),ISBLANK(G94),ISBLANK(H94),ISBLANK(J94)),"",ROW()-6)</f>
        <v/>
      </c>
      <c r="B94" s="9" t="inlineStr">
        <is>
          <t>Pneumatic Gate#1</t>
        </is>
      </c>
      <c r="C94" s="8" t="inlineStr">
        <is>
          <t>set</t>
        </is>
      </c>
      <c r="D94" s="10" t="n">
        <v>10</v>
      </c>
      <c r="E94" s="11" t="n">
        <v>594</v>
      </c>
      <c r="F94" s="12">
        <f>IF(AND(D94&lt;&gt;"",E94&lt;&gt;""),D94*E94,"")</f>
        <v/>
      </c>
      <c r="G94" s="13" t="n"/>
      <c r="H94" s="13" t="n">
        <v>100</v>
      </c>
      <c r="I94" s="14" t="inlineStr">
        <is>
          <t>II- Machinery and Equipment</t>
        </is>
      </c>
      <c r="J94" s="9" t="inlineStr"/>
    </row>
    <row r="95">
      <c r="A95" s="8">
        <f>IF(AND(ISBLANK(B95),ISBLANK(C95),ISBLANK(D95),ISBLANK(E95),ISBLANK(G95),ISBLANK(H95),ISBLANK(J95)),"",ROW()-6)</f>
        <v/>
      </c>
      <c r="B95" s="9" t="inlineStr">
        <is>
          <t>Pneumatic Gate#2</t>
        </is>
      </c>
      <c r="C95" s="8" t="inlineStr">
        <is>
          <t>set</t>
        </is>
      </c>
      <c r="D95" s="10" t="n">
        <v>5</v>
      </c>
      <c r="E95" s="11" t="n">
        <v>1065</v>
      </c>
      <c r="F95" s="12">
        <f>IF(AND(D95&lt;&gt;"",E95&lt;&gt;""),D95*E95,"")</f>
        <v/>
      </c>
      <c r="G95" s="13" t="n"/>
      <c r="H95" s="13" t="n">
        <v>100</v>
      </c>
      <c r="I95" s="14" t="inlineStr">
        <is>
          <t>II- Machinery and Equipment</t>
        </is>
      </c>
      <c r="J95" s="9" t="inlineStr"/>
    </row>
    <row r="96">
      <c r="A96" s="8">
        <f>IF(AND(ISBLANK(B96),ISBLANK(C96),ISBLANK(D96),ISBLANK(E96),ISBLANK(G96),ISBLANK(H96),ISBLANK(J96)),"",ROW()-6)</f>
        <v/>
      </c>
      <c r="B96" s="9" t="inlineStr">
        <is>
          <t>Pneumatic Gate#3</t>
        </is>
      </c>
      <c r="C96" s="8" t="inlineStr">
        <is>
          <t>set</t>
        </is>
      </c>
      <c r="D96" s="10" t="n">
        <v>5</v>
      </c>
      <c r="E96" s="11" t="n">
        <v>714</v>
      </c>
      <c r="F96" s="12">
        <f>IF(AND(D96&lt;&gt;"",E96&lt;&gt;""),D96*E96,"")</f>
        <v/>
      </c>
      <c r="G96" s="13" t="n"/>
      <c r="H96" s="13" t="n">
        <v>100</v>
      </c>
      <c r="I96" s="14" t="inlineStr">
        <is>
          <t>II- Machinery and Equipment</t>
        </is>
      </c>
      <c r="J96" s="9" t="inlineStr"/>
    </row>
    <row r="97">
      <c r="A97" s="8">
        <f>IF(AND(ISBLANK(B97),ISBLANK(C97),ISBLANK(D97),ISBLANK(E97),ISBLANK(G97),ISBLANK(H97),ISBLANK(J97)),"",ROW()-6)</f>
        <v/>
      </c>
      <c r="B97" s="9" t="inlineStr">
        <is>
          <t>Pneumatic Gate#4</t>
        </is>
      </c>
      <c r="C97" s="8" t="inlineStr">
        <is>
          <t>set</t>
        </is>
      </c>
      <c r="D97" s="10" t="n">
        <v>5</v>
      </c>
      <c r="E97" s="11" t="n">
        <v>463</v>
      </c>
      <c r="F97" s="12">
        <f>IF(AND(D97&lt;&gt;"",E97&lt;&gt;""),D97*E97,"")</f>
        <v/>
      </c>
      <c r="G97" s="13" t="n"/>
      <c r="H97" s="13" t="n">
        <v>100</v>
      </c>
      <c r="I97" s="14" t="inlineStr">
        <is>
          <t>II- Machinery and Equipment</t>
        </is>
      </c>
      <c r="J97" s="9" t="inlineStr"/>
    </row>
    <row r="98">
      <c r="A98" s="8">
        <f>IF(AND(ISBLANK(B98),ISBLANK(C98),ISBLANK(D98),ISBLANK(E98),ISBLANK(G98),ISBLANK(H98),ISBLANK(J98)),"",ROW()-6)</f>
        <v/>
      </c>
      <c r="B98" s="9" t="inlineStr">
        <is>
          <t>Pneumatic Gate#5</t>
        </is>
      </c>
      <c r="C98" s="8" t="inlineStr">
        <is>
          <t>set</t>
        </is>
      </c>
      <c r="D98" s="10" t="n">
        <v>5</v>
      </c>
      <c r="E98" s="11" t="n">
        <v>174</v>
      </c>
      <c r="F98" s="12">
        <f>IF(AND(D98&lt;&gt;"",E98&lt;&gt;""),D98*E98,"")</f>
        <v/>
      </c>
      <c r="G98" s="13" t="n"/>
      <c r="H98" s="13" t="n">
        <v>100</v>
      </c>
      <c r="I98" s="14" t="inlineStr">
        <is>
          <t>II- Machinery and Equipment</t>
        </is>
      </c>
      <c r="J98" s="9" t="inlineStr"/>
    </row>
    <row r="99">
      <c r="A99" s="8">
        <f>IF(AND(ISBLANK(B99),ISBLANK(C99),ISBLANK(D99),ISBLANK(E99),ISBLANK(G99),ISBLANK(H99),ISBLANK(J99)),"",ROW()-6)</f>
        <v/>
      </c>
      <c r="B99" s="9" t="inlineStr">
        <is>
          <t>Pneumatic Gate#6</t>
        </is>
      </c>
      <c r="C99" s="8" t="inlineStr">
        <is>
          <t>set</t>
        </is>
      </c>
      <c r="D99" s="10" t="n">
        <v>5</v>
      </c>
      <c r="E99" s="11" t="n">
        <v>382</v>
      </c>
      <c r="F99" s="12">
        <f>IF(AND(D99&lt;&gt;"",E99&lt;&gt;""),D99*E99,"")</f>
        <v/>
      </c>
      <c r="G99" s="13" t="n"/>
      <c r="H99" s="13" t="n">
        <v>100</v>
      </c>
      <c r="I99" s="14" t="inlineStr">
        <is>
          <t>II- Machinery and Equipment</t>
        </is>
      </c>
      <c r="J99" s="9" t="inlineStr"/>
    </row>
    <row r="100">
      <c r="A100" s="8">
        <f>IF(AND(ISBLANK(B100),ISBLANK(C100),ISBLANK(D100),ISBLANK(E100),ISBLANK(G100),ISBLANK(H100),ISBLANK(J100)),"",ROW()-6)</f>
        <v/>
      </c>
      <c r="B100" s="9" t="inlineStr">
        <is>
          <t>Pneumatic Tee</t>
        </is>
      </c>
      <c r="C100" s="8" t="inlineStr">
        <is>
          <t>set</t>
        </is>
      </c>
      <c r="D100" s="10" t="n">
        <v>5</v>
      </c>
      <c r="E100" s="11" t="n">
        <v>729</v>
      </c>
      <c r="F100" s="12">
        <f>IF(AND(D100&lt;&gt;"",E100&lt;&gt;""),D100*E100,"")</f>
        <v/>
      </c>
      <c r="G100" s="13" t="n"/>
      <c r="H100" s="13" t="n">
        <v>100</v>
      </c>
      <c r="I100" s="14" t="inlineStr">
        <is>
          <t>II- Machinery and Equipment</t>
        </is>
      </c>
      <c r="J100" s="9" t="inlineStr"/>
    </row>
    <row r="101">
      <c r="A101" s="8">
        <f>IF(AND(ISBLANK(B101),ISBLANK(C101),ISBLANK(D101),ISBLANK(E101),ISBLANK(G101),ISBLANK(H101),ISBLANK(J101)),"",ROW()-6)</f>
        <v/>
      </c>
      <c r="B101" s="9" t="inlineStr">
        <is>
          <t>Pneumatic Three-Way#1</t>
        </is>
      </c>
      <c r="C101" s="8" t="inlineStr">
        <is>
          <t>set</t>
        </is>
      </c>
      <c r="D101" s="10" t="n">
        <v>15</v>
      </c>
      <c r="E101" s="11" t="n">
        <v>391</v>
      </c>
      <c r="F101" s="12">
        <f>IF(AND(D101&lt;&gt;"",E101&lt;&gt;""),D101*E101,"")</f>
        <v/>
      </c>
      <c r="G101" s="13" t="n"/>
      <c r="H101" s="13" t="n">
        <v>100</v>
      </c>
      <c r="I101" s="14" t="inlineStr">
        <is>
          <t>II- Machinery and Equipment</t>
        </is>
      </c>
      <c r="J101" s="9" t="inlineStr"/>
    </row>
    <row r="102">
      <c r="A102" s="8">
        <f>IF(AND(ISBLANK(B102),ISBLANK(C102),ISBLANK(D102),ISBLANK(E102),ISBLANK(G102),ISBLANK(H102),ISBLANK(J102)),"",ROW()-6)</f>
        <v/>
      </c>
      <c r="B102" s="9" t="inlineStr">
        <is>
          <t>Pneumatic Three-Way#2</t>
        </is>
      </c>
      <c r="C102" s="8" t="inlineStr">
        <is>
          <t>set</t>
        </is>
      </c>
      <c r="D102" s="10" t="n">
        <v>5</v>
      </c>
      <c r="E102" s="11" t="n">
        <v>773</v>
      </c>
      <c r="F102" s="12">
        <f>IF(AND(D102&lt;&gt;"",E102&lt;&gt;""),D102*E102,"")</f>
        <v/>
      </c>
      <c r="G102" s="13" t="n"/>
      <c r="H102" s="13" t="n">
        <v>100</v>
      </c>
      <c r="I102" s="14" t="inlineStr">
        <is>
          <t>II- Machinery and Equipment</t>
        </is>
      </c>
      <c r="J102" s="9" t="inlineStr"/>
    </row>
    <row r="103">
      <c r="A103" s="8">
        <f>IF(AND(ISBLANK(B103),ISBLANK(C103),ISBLANK(D103),ISBLANK(E103),ISBLANK(G103),ISBLANK(H103),ISBLANK(J103)),"",ROW()-6)</f>
        <v/>
      </c>
      <c r="B103" s="9" t="inlineStr">
        <is>
          <t>Pneumatic Three-Way#3</t>
        </is>
      </c>
      <c r="C103" s="8" t="inlineStr">
        <is>
          <t>set</t>
        </is>
      </c>
      <c r="D103" s="10" t="n">
        <v>5</v>
      </c>
      <c r="E103" s="11" t="n">
        <v>832</v>
      </c>
      <c r="F103" s="12">
        <f>IF(AND(D103&lt;&gt;"",E103&lt;&gt;""),D103*E103,"")</f>
        <v/>
      </c>
      <c r="G103" s="13" t="n"/>
      <c r="H103" s="13" t="n">
        <v>100</v>
      </c>
      <c r="I103" s="14" t="inlineStr">
        <is>
          <t>II- Machinery and Equipment</t>
        </is>
      </c>
      <c r="J103" s="9" t="inlineStr"/>
    </row>
    <row r="104">
      <c r="A104" s="8">
        <f>IF(AND(ISBLANK(B104),ISBLANK(C104),ISBLANK(D104),ISBLANK(E104),ISBLANK(G104),ISBLANK(H104),ISBLANK(J104)),"",ROW()-6)</f>
        <v/>
      </c>
      <c r="B104" s="9" t="inlineStr">
        <is>
          <t>Primary Filter</t>
        </is>
      </c>
      <c r="C104" s="8" t="inlineStr">
        <is>
          <t>set</t>
        </is>
      </c>
      <c r="D104" s="10" t="n">
        <v>5</v>
      </c>
      <c r="E104" s="11" t="n">
        <v>714</v>
      </c>
      <c r="F104" s="12">
        <f>IF(AND(D104&lt;&gt;"",E104&lt;&gt;""),D104*E104,"")</f>
        <v/>
      </c>
      <c r="G104" s="13" t="n"/>
      <c r="H104" s="13" t="n">
        <v>100</v>
      </c>
      <c r="I104" s="14" t="inlineStr">
        <is>
          <t>II- Machinery and Equipment</t>
        </is>
      </c>
      <c r="J104" s="9" t="inlineStr"/>
    </row>
    <row r="105">
      <c r="A105" s="8">
        <f>IF(AND(ISBLANK(B105),ISBLANK(C105),ISBLANK(D105),ISBLANK(E105),ISBLANK(G105),ISBLANK(H105),ISBLANK(J105)),"",ROW()-6)</f>
        <v/>
      </c>
      <c r="B105" s="9" t="inlineStr">
        <is>
          <t>Proportional Scale#1</t>
        </is>
      </c>
      <c r="C105" s="8" t="inlineStr">
        <is>
          <t>set</t>
        </is>
      </c>
      <c r="D105" s="10" t="n">
        <v>5</v>
      </c>
      <c r="E105" s="11" t="n">
        <v>3434</v>
      </c>
      <c r="F105" s="12">
        <f>IF(AND(D105&lt;&gt;"",E105&lt;&gt;""),D105*E105,"")</f>
        <v/>
      </c>
      <c r="G105" s="13" t="n"/>
      <c r="H105" s="13" t="n">
        <v>100</v>
      </c>
      <c r="I105" s="14" t="inlineStr">
        <is>
          <t>II- Machinery and Equipment</t>
        </is>
      </c>
      <c r="J105" s="9" t="inlineStr"/>
    </row>
    <row r="106">
      <c r="A106" s="8">
        <f>IF(AND(ISBLANK(B106),ISBLANK(C106),ISBLANK(D106),ISBLANK(E106),ISBLANK(G106),ISBLANK(H106),ISBLANK(J106)),"",ROW()-6)</f>
        <v/>
      </c>
      <c r="B106" s="9" t="inlineStr">
        <is>
          <t>Proportional Scale#2</t>
        </is>
      </c>
      <c r="C106" s="8" t="inlineStr">
        <is>
          <t>set</t>
        </is>
      </c>
      <c r="D106" s="10" t="n">
        <v>5</v>
      </c>
      <c r="E106" s="11" t="n">
        <v>2604</v>
      </c>
      <c r="F106" s="12">
        <f>IF(AND(D106&lt;&gt;"",E106&lt;&gt;""),D106*E106,"")</f>
        <v/>
      </c>
      <c r="G106" s="13" t="n"/>
      <c r="H106" s="13" t="n">
        <v>100</v>
      </c>
      <c r="I106" s="14" t="inlineStr">
        <is>
          <t>II- Machinery and Equipment</t>
        </is>
      </c>
      <c r="J106" s="9" t="inlineStr"/>
    </row>
    <row r="107">
      <c r="A107" s="8">
        <f>IF(AND(ISBLANK(B107),ISBLANK(C107),ISBLANK(D107),ISBLANK(E107),ISBLANK(G107),ISBLANK(H107),ISBLANK(J107)),"",ROW()-6)</f>
        <v/>
      </c>
      <c r="B107" s="9" t="inlineStr">
        <is>
          <t>Proportional Scale Door</t>
        </is>
      </c>
      <c r="C107" s="8" t="inlineStr">
        <is>
          <t>set</t>
        </is>
      </c>
      <c r="D107" s="10" t="n">
        <v>5</v>
      </c>
      <c r="E107" s="11" t="n">
        <v>948</v>
      </c>
      <c r="F107" s="12">
        <f>IF(AND(D107&lt;&gt;"",E107&lt;&gt;""),D107*E107,"")</f>
        <v/>
      </c>
      <c r="G107" s="13" t="n"/>
      <c r="H107" s="13" t="n">
        <v>100</v>
      </c>
      <c r="I107" s="14" t="inlineStr">
        <is>
          <t>II- Machinery and Equipment</t>
        </is>
      </c>
      <c r="J107" s="9" t="inlineStr"/>
    </row>
    <row r="108">
      <c r="A108" s="8">
        <f>IF(AND(ISBLANK(B108),ISBLANK(C108),ISBLANK(D108),ISBLANK(E108),ISBLANK(G108),ISBLANK(H108),ISBLANK(J108)),"",ROW()-6)</f>
        <v/>
      </c>
      <c r="B108" s="9" t="inlineStr">
        <is>
          <t>Pulse Dust Collector#1</t>
        </is>
      </c>
      <c r="C108" s="8" t="inlineStr">
        <is>
          <t>set</t>
        </is>
      </c>
      <c r="D108" s="10" t="n">
        <v>5</v>
      </c>
      <c r="E108" s="11" t="n">
        <v>3552</v>
      </c>
      <c r="F108" s="12">
        <f>IF(AND(D108&lt;&gt;"",E108&lt;&gt;""),D108*E108,"")</f>
        <v/>
      </c>
      <c r="G108" s="13" t="n"/>
      <c r="H108" s="13" t="n">
        <v>100</v>
      </c>
      <c r="I108" s="14" t="inlineStr">
        <is>
          <t>II- Machinery and Equipment</t>
        </is>
      </c>
      <c r="J108" s="9" t="inlineStr"/>
    </row>
    <row r="109">
      <c r="A109" s="8">
        <f>IF(AND(ISBLANK(B109),ISBLANK(C109),ISBLANK(D109),ISBLANK(E109),ISBLANK(G109),ISBLANK(H109),ISBLANK(J109)),"",ROW()-6)</f>
        <v/>
      </c>
      <c r="B109" s="9" t="inlineStr">
        <is>
          <t>Pulse Dust Collector#2</t>
        </is>
      </c>
      <c r="C109" s="8" t="inlineStr">
        <is>
          <t>set</t>
        </is>
      </c>
      <c r="D109" s="10" t="n">
        <v>5</v>
      </c>
      <c r="E109" s="11" t="n">
        <v>1645</v>
      </c>
      <c r="F109" s="12">
        <f>IF(AND(D109&lt;&gt;"",E109&lt;&gt;""),D109*E109,"")</f>
        <v/>
      </c>
      <c r="G109" s="13" t="n"/>
      <c r="H109" s="13" t="n">
        <v>100</v>
      </c>
      <c r="I109" s="14" t="inlineStr">
        <is>
          <t>II- Machinery and Equipment</t>
        </is>
      </c>
      <c r="J109" s="9" t="inlineStr"/>
    </row>
    <row r="110">
      <c r="A110" s="8">
        <f>IF(AND(ISBLANK(B110),ISBLANK(C110),ISBLANK(D110),ISBLANK(E110),ISBLANK(G110),ISBLANK(H110),ISBLANK(J110)),"",ROW()-6)</f>
        <v/>
      </c>
      <c r="B110" s="9" t="inlineStr">
        <is>
          <t>Pulse Dust Collector#3</t>
        </is>
      </c>
      <c r="C110" s="8" t="inlineStr">
        <is>
          <t>set</t>
        </is>
      </c>
      <c r="D110" s="10" t="n">
        <v>5</v>
      </c>
      <c r="E110" s="11" t="n">
        <v>1420</v>
      </c>
      <c r="F110" s="12">
        <f>IF(AND(D110&lt;&gt;"",E110&lt;&gt;""),D110*E110,"")</f>
        <v/>
      </c>
      <c r="G110" s="13" t="n"/>
      <c r="H110" s="13" t="n">
        <v>100</v>
      </c>
      <c r="I110" s="14" t="inlineStr">
        <is>
          <t>II- Machinery and Equipment</t>
        </is>
      </c>
      <c r="J110" s="9" t="inlineStr"/>
    </row>
    <row r="111">
      <c r="A111" s="8">
        <f>IF(AND(ISBLANK(B111),ISBLANK(C111),ISBLANK(D111),ISBLANK(E111),ISBLANK(G111),ISBLANK(H111),ISBLANK(J111)),"",ROW()-6)</f>
        <v/>
      </c>
      <c r="B111" s="9" t="inlineStr">
        <is>
          <t>Pulse Dust Collector#4</t>
        </is>
      </c>
      <c r="C111" s="8" t="inlineStr">
        <is>
          <t>set</t>
        </is>
      </c>
      <c r="D111" s="10" t="n">
        <v>5</v>
      </c>
      <c r="E111" s="11" t="n">
        <v>6651</v>
      </c>
      <c r="F111" s="12">
        <f>IF(AND(D111&lt;&gt;"",E111&lt;&gt;""),D111*E111,"")</f>
        <v/>
      </c>
      <c r="G111" s="13" t="n"/>
      <c r="H111" s="13" t="n">
        <v>100</v>
      </c>
      <c r="I111" s="14" t="inlineStr">
        <is>
          <t>II- Machinery and Equipment</t>
        </is>
      </c>
      <c r="J111" s="9" t="inlineStr"/>
    </row>
    <row r="112">
      <c r="A112" s="8">
        <f>IF(AND(ISBLANK(B112),ISBLANK(C112),ISBLANK(D112),ISBLANK(E112),ISBLANK(G112),ISBLANK(H112),ISBLANK(J112)),"",ROW()-6)</f>
        <v/>
      </c>
      <c r="B112" s="9" t="inlineStr">
        <is>
          <t>Pulse Dust Collector#5</t>
        </is>
      </c>
      <c r="C112" s="8" t="inlineStr">
        <is>
          <t>set</t>
        </is>
      </c>
      <c r="D112" s="10" t="n">
        <v>5</v>
      </c>
      <c r="E112" s="11" t="n">
        <v>1078</v>
      </c>
      <c r="F112" s="12">
        <f>IF(AND(D112&lt;&gt;"",E112&lt;&gt;""),D112*E112,"")</f>
        <v/>
      </c>
      <c r="G112" s="13" t="n"/>
      <c r="H112" s="13" t="n">
        <v>100</v>
      </c>
      <c r="I112" s="14" t="inlineStr">
        <is>
          <t>II- Machinery and Equipment</t>
        </is>
      </c>
      <c r="J112" s="9" t="inlineStr"/>
    </row>
    <row r="113">
      <c r="A113" s="8">
        <f>IF(AND(ISBLANK(B113),ISBLANK(C113),ISBLANK(D113),ISBLANK(E113),ISBLANK(G113),ISBLANK(H113),ISBLANK(J113)),"",ROW()-6)</f>
        <v/>
      </c>
      <c r="B113" s="9" t="inlineStr">
        <is>
          <t>Pulse Dust Collector#6</t>
        </is>
      </c>
      <c r="C113" s="8" t="inlineStr">
        <is>
          <t>set</t>
        </is>
      </c>
      <c r="D113" s="10" t="n">
        <v>5</v>
      </c>
      <c r="E113" s="11" t="n">
        <v>2661</v>
      </c>
      <c r="F113" s="12">
        <f>IF(AND(D113&lt;&gt;"",E113&lt;&gt;""),D113*E113,"")</f>
        <v/>
      </c>
      <c r="G113" s="13" t="n"/>
      <c r="H113" s="13" t="n">
        <v>100</v>
      </c>
      <c r="I113" s="14" t="inlineStr">
        <is>
          <t>II- Machinery and Equipment</t>
        </is>
      </c>
      <c r="J113" s="9" t="inlineStr"/>
    </row>
    <row r="114">
      <c r="A114" s="8">
        <f>IF(AND(ISBLANK(B114),ISBLANK(C114),ISBLANK(D114),ISBLANK(E114),ISBLANK(G114),ISBLANK(H114),ISBLANK(J114)),"",ROW()-6)</f>
        <v/>
      </c>
      <c r="B114" s="9" t="inlineStr">
        <is>
          <t>Raw Material Expansion Equipment</t>
        </is>
      </c>
      <c r="C114" s="8" t="inlineStr">
        <is>
          <t>set</t>
        </is>
      </c>
      <c r="D114" s="10" t="n">
        <v>1</v>
      </c>
      <c r="E114" s="11" t="n">
        <v>300000</v>
      </c>
      <c r="F114" s="12">
        <f>IF(AND(D114&lt;&gt;"",E114&lt;&gt;""),D114*E114,"")</f>
        <v/>
      </c>
      <c r="G114" s="13" t="n"/>
      <c r="H114" s="13" t="n">
        <v>100</v>
      </c>
      <c r="I114" s="14" t="inlineStr">
        <is>
          <t>II- Machinery and Equipment</t>
        </is>
      </c>
      <c r="J114" s="9" t="inlineStr"/>
    </row>
    <row r="115">
      <c r="A115" s="8">
        <f>IF(AND(ISBLANK(B115),ISBLANK(C115),ISBLANK(D115),ISBLANK(E115),ISBLANK(G115),ISBLANK(H115),ISBLANK(J115)),"",ROW()-6)</f>
        <v/>
      </c>
      <c r="B115" s="9" t="inlineStr">
        <is>
          <t>Refrigeration Dryer</t>
        </is>
      </c>
      <c r="C115" s="8" t="inlineStr">
        <is>
          <t>set</t>
        </is>
      </c>
      <c r="D115" s="10" t="n">
        <v>8</v>
      </c>
      <c r="E115" s="11" t="n">
        <v>2377</v>
      </c>
      <c r="F115" s="12">
        <f>IF(AND(D115&lt;&gt;"",E115&lt;&gt;""),D115*E115,"")</f>
        <v/>
      </c>
      <c r="G115" s="13" t="n"/>
      <c r="H115" s="13" t="n">
        <v>100</v>
      </c>
      <c r="I115" s="14" t="inlineStr">
        <is>
          <t>II- Machinery and Equipment</t>
        </is>
      </c>
      <c r="J115" s="9" t="inlineStr"/>
    </row>
    <row r="116">
      <c r="A116" s="8">
        <f>IF(AND(ISBLANK(B116),ISBLANK(C116),ISBLANK(D116),ISBLANK(E116),ISBLANK(G116),ISBLANK(H116),ISBLANK(J116)),"",ROW()-6)</f>
        <v/>
      </c>
      <c r="B116" s="9" t="inlineStr">
        <is>
          <t>Rotary Distributor</t>
        </is>
      </c>
      <c r="C116" s="8" t="inlineStr">
        <is>
          <t>set</t>
        </is>
      </c>
      <c r="D116" s="10" t="n">
        <v>8</v>
      </c>
      <c r="E116" s="11" t="n">
        <v>2285</v>
      </c>
      <c r="F116" s="12">
        <f>IF(AND(D116&lt;&gt;"",E116&lt;&gt;""),D116*E116,"")</f>
        <v/>
      </c>
      <c r="G116" s="13" t="n"/>
      <c r="H116" s="13" t="n">
        <v>100</v>
      </c>
      <c r="I116" s="14" t="inlineStr">
        <is>
          <t>II- Machinery and Equipment</t>
        </is>
      </c>
      <c r="J116" s="9" t="inlineStr"/>
    </row>
    <row r="117">
      <c r="A117" s="8">
        <f>IF(AND(ISBLANK(B117),ISBLANK(C117),ISBLANK(D117),ISBLANK(E117),ISBLANK(G117),ISBLANK(H117),ISBLANK(J117)),"",ROW()-6)</f>
        <v/>
      </c>
      <c r="B117" s="9" t="inlineStr">
        <is>
          <t>Rotary Feeder</t>
        </is>
      </c>
      <c r="C117" s="8" t="inlineStr">
        <is>
          <t>set</t>
        </is>
      </c>
      <c r="D117" s="10" t="n">
        <v>5</v>
      </c>
      <c r="E117" s="11" t="n">
        <v>6636</v>
      </c>
      <c r="F117" s="12">
        <f>IF(AND(D117&lt;&gt;"",E117&lt;&gt;""),D117*E117,"")</f>
        <v/>
      </c>
      <c r="G117" s="13" t="n"/>
      <c r="H117" s="13" t="n">
        <v>100</v>
      </c>
      <c r="I117" s="14" t="inlineStr">
        <is>
          <t>II- Machinery and Equipment</t>
        </is>
      </c>
      <c r="J117" s="9" t="inlineStr"/>
    </row>
    <row r="118">
      <c r="A118" s="8">
        <f>IF(AND(ISBLANK(B118),ISBLANK(C118),ISBLANK(D118),ISBLANK(E118),ISBLANK(G118),ISBLANK(H118),ISBLANK(J118)),"",ROW()-6)</f>
        <v/>
      </c>
      <c r="B118" s="9" t="inlineStr">
        <is>
          <t>Scraper</t>
        </is>
      </c>
      <c r="C118" s="8" t="inlineStr">
        <is>
          <t>set</t>
        </is>
      </c>
      <c r="D118" s="10" t="n">
        <v>5</v>
      </c>
      <c r="E118" s="11" t="n">
        <v>2484</v>
      </c>
      <c r="F118" s="12">
        <f>IF(AND(D118&lt;&gt;"",E118&lt;&gt;""),D118*E118,"")</f>
        <v/>
      </c>
      <c r="G118" s="13" t="n"/>
      <c r="H118" s="13" t="n">
        <v>100</v>
      </c>
      <c r="I118" s="14" t="inlineStr">
        <is>
          <t>II- Machinery and Equipment</t>
        </is>
      </c>
      <c r="J118" s="9" t="inlineStr"/>
    </row>
    <row r="119">
      <c r="A119" s="8">
        <f>IF(AND(ISBLANK(B119),ISBLANK(C119),ISBLANK(D119),ISBLANK(E119),ISBLANK(G119),ISBLANK(H119),ISBLANK(J119)),"",ROW()-6)</f>
        <v/>
      </c>
      <c r="B119" s="9" t="inlineStr">
        <is>
          <t>Scraper Conveyor#1</t>
        </is>
      </c>
      <c r="C119" s="8" t="inlineStr">
        <is>
          <t>set</t>
        </is>
      </c>
      <c r="D119" s="10" t="n">
        <v>5</v>
      </c>
      <c r="E119" s="11" t="n">
        <v>4678</v>
      </c>
      <c r="F119" s="12">
        <f>IF(AND(D119&lt;&gt;"",E119&lt;&gt;""),D119*E119,"")</f>
        <v/>
      </c>
      <c r="G119" s="13" t="n"/>
      <c r="H119" s="13" t="n">
        <v>100</v>
      </c>
      <c r="I119" s="14" t="inlineStr">
        <is>
          <t>II- Machinery and Equipment</t>
        </is>
      </c>
      <c r="J119" s="9" t="inlineStr"/>
    </row>
    <row r="120">
      <c r="A120" s="8">
        <f>IF(AND(ISBLANK(B120),ISBLANK(C120),ISBLANK(D120),ISBLANK(E120),ISBLANK(G120),ISBLANK(H120),ISBLANK(J120)),"",ROW()-6)</f>
        <v/>
      </c>
      <c r="B120" s="9" t="inlineStr">
        <is>
          <t>Scraper Conveyor#2</t>
        </is>
      </c>
      <c r="C120" s="8" t="inlineStr">
        <is>
          <t>set</t>
        </is>
      </c>
      <c r="D120" s="10" t="n">
        <v>5</v>
      </c>
      <c r="E120" s="11" t="n">
        <v>3671</v>
      </c>
      <c r="F120" s="12">
        <f>IF(AND(D120&lt;&gt;"",E120&lt;&gt;""),D120*E120,"")</f>
        <v/>
      </c>
      <c r="G120" s="13" t="n"/>
      <c r="H120" s="13" t="n">
        <v>100</v>
      </c>
      <c r="I120" s="14" t="inlineStr">
        <is>
          <t>II- Machinery and Equipment</t>
        </is>
      </c>
      <c r="J120" s="9" t="inlineStr"/>
    </row>
    <row r="121">
      <c r="A121" s="8">
        <f>IF(AND(ISBLANK(B121),ISBLANK(C121),ISBLANK(D121),ISBLANK(E121),ISBLANK(G121),ISBLANK(H121),ISBLANK(J121)),"",ROW()-6)</f>
        <v/>
      </c>
      <c r="B121" s="9" t="inlineStr">
        <is>
          <t>Scraper Conveyor#3</t>
        </is>
      </c>
      <c r="C121" s="8" t="inlineStr">
        <is>
          <t>set</t>
        </is>
      </c>
      <c r="D121" s="10" t="n">
        <v>5</v>
      </c>
      <c r="E121" s="11" t="n">
        <v>4633</v>
      </c>
      <c r="F121" s="12">
        <f>IF(AND(D121&lt;&gt;"",E121&lt;&gt;""),D121*E121,"")</f>
        <v/>
      </c>
      <c r="G121" s="13" t="n"/>
      <c r="H121" s="13" t="n">
        <v>100</v>
      </c>
      <c r="I121" s="14" t="inlineStr">
        <is>
          <t>II- Machinery and Equipment</t>
        </is>
      </c>
      <c r="J121" s="9" t="inlineStr"/>
    </row>
    <row r="122">
      <c r="A122" s="8">
        <f>IF(AND(ISBLANK(B122),ISBLANK(C122),ISBLANK(D122),ISBLANK(E122),ISBLANK(G122),ISBLANK(H122),ISBLANK(J122)),"",ROW()-6)</f>
        <v/>
      </c>
      <c r="B122" s="9" t="inlineStr">
        <is>
          <t>Scraper Conveyor#4</t>
        </is>
      </c>
      <c r="C122" s="8" t="inlineStr">
        <is>
          <t>set</t>
        </is>
      </c>
      <c r="D122" s="10" t="n">
        <v>5</v>
      </c>
      <c r="E122" s="11" t="n">
        <v>4620</v>
      </c>
      <c r="F122" s="12">
        <f>IF(AND(D122&lt;&gt;"",E122&lt;&gt;""),D122*E122,"")</f>
        <v/>
      </c>
      <c r="G122" s="13" t="n"/>
      <c r="H122" s="13" t="n">
        <v>100</v>
      </c>
      <c r="I122" s="14" t="inlineStr">
        <is>
          <t>II- Machinery and Equipment</t>
        </is>
      </c>
      <c r="J122" s="9" t="inlineStr"/>
    </row>
    <row r="123">
      <c r="A123" s="8">
        <f>IF(AND(ISBLANK(B123),ISBLANK(C123),ISBLANK(D123),ISBLANK(E123),ISBLANK(G123),ISBLANK(H123),ISBLANK(J123)),"",ROW()-6)</f>
        <v/>
      </c>
      <c r="B123" s="9" t="inlineStr">
        <is>
          <t>Screw Air Compressor with 2 Air Storage Tank 1m3</t>
        </is>
      </c>
      <c r="C123" s="8" t="inlineStr">
        <is>
          <t>set</t>
        </is>
      </c>
      <c r="D123" s="10" t="n">
        <v>5</v>
      </c>
      <c r="E123" s="11" t="n">
        <v>32788</v>
      </c>
      <c r="F123" s="12">
        <f>IF(AND(D123&lt;&gt;"",E123&lt;&gt;""),D123*E123,"")</f>
        <v/>
      </c>
      <c r="G123" s="13" t="n"/>
      <c r="H123" s="13" t="n">
        <v>100</v>
      </c>
      <c r="I123" s="14" t="inlineStr">
        <is>
          <t>II- Machinery and Equipment</t>
        </is>
      </c>
      <c r="J123" s="9" t="inlineStr"/>
    </row>
    <row r="124">
      <c r="A124" s="8">
        <f>IF(AND(ISBLANK(B124),ISBLANK(C124),ISBLANK(D124),ISBLANK(E124),ISBLANK(G124),ISBLANK(H124),ISBLANK(J124)),"",ROW()-6)</f>
        <v/>
      </c>
      <c r="B124" s="9" t="inlineStr">
        <is>
          <t>Screw Conveyor#1</t>
        </is>
      </c>
      <c r="C124" s="8" t="inlineStr">
        <is>
          <t>set</t>
        </is>
      </c>
      <c r="D124" s="10" t="n">
        <v>5</v>
      </c>
      <c r="E124" s="11" t="n">
        <v>2611</v>
      </c>
      <c r="F124" s="12">
        <f>IF(AND(D124&lt;&gt;"",E124&lt;&gt;""),D124*E124,"")</f>
        <v/>
      </c>
      <c r="G124" s="13" t="n"/>
      <c r="H124" s="13" t="n">
        <v>100</v>
      </c>
      <c r="I124" s="14" t="inlineStr">
        <is>
          <t>II- Machinery and Equipment</t>
        </is>
      </c>
      <c r="J124" s="9" t="inlineStr"/>
    </row>
    <row r="125">
      <c r="A125" s="8">
        <f>IF(AND(ISBLANK(B125),ISBLANK(C125),ISBLANK(D125),ISBLANK(E125),ISBLANK(G125),ISBLANK(H125),ISBLANK(J125)),"",ROW()-6)</f>
        <v/>
      </c>
      <c r="B125" s="9" t="inlineStr">
        <is>
          <t>Screw Conveyor#2</t>
        </is>
      </c>
      <c r="C125" s="8" t="inlineStr">
        <is>
          <t>set</t>
        </is>
      </c>
      <c r="D125" s="10" t="n">
        <v>5</v>
      </c>
      <c r="E125" s="11" t="n">
        <v>1305</v>
      </c>
      <c r="F125" s="12">
        <f>IF(AND(D125&lt;&gt;"",E125&lt;&gt;""),D125*E125,"")</f>
        <v/>
      </c>
      <c r="G125" s="13" t="n"/>
      <c r="H125" s="13" t="n">
        <v>100</v>
      </c>
      <c r="I125" s="14" t="inlineStr">
        <is>
          <t>II- Machinery and Equipment</t>
        </is>
      </c>
      <c r="J125" s="9" t="inlineStr"/>
    </row>
    <row r="126">
      <c r="A126" s="8">
        <f>IF(AND(ISBLANK(B126),ISBLANK(C126),ISBLANK(D126),ISBLANK(E126),ISBLANK(G126),ISBLANK(H126),ISBLANK(J126)),"",ROW()-6)</f>
        <v/>
      </c>
      <c r="B126" s="9" t="inlineStr">
        <is>
          <t>Screw Conveyor#3</t>
        </is>
      </c>
      <c r="C126" s="8" t="inlineStr">
        <is>
          <t>set</t>
        </is>
      </c>
      <c r="D126" s="10" t="n">
        <v>5</v>
      </c>
      <c r="E126" s="11" t="n">
        <v>2731</v>
      </c>
      <c r="F126" s="12">
        <f>IF(AND(D126&lt;&gt;"",E126&lt;&gt;""),D126*E126,"")</f>
        <v/>
      </c>
      <c r="G126" s="13" t="n"/>
      <c r="H126" s="13" t="n">
        <v>100</v>
      </c>
      <c r="I126" s="14" t="inlineStr">
        <is>
          <t>II- Machinery and Equipment</t>
        </is>
      </c>
      <c r="J126" s="9" t="inlineStr"/>
    </row>
    <row r="127">
      <c r="A127" s="8">
        <f>IF(AND(ISBLANK(B127),ISBLANK(C127),ISBLANK(D127),ISBLANK(E127),ISBLANK(G127),ISBLANK(H127),ISBLANK(J127)),"",ROW()-6)</f>
        <v/>
      </c>
      <c r="B127" s="9" t="inlineStr">
        <is>
          <t>Screw Conveyor#4</t>
        </is>
      </c>
      <c r="C127" s="8" t="inlineStr">
        <is>
          <t>set</t>
        </is>
      </c>
      <c r="D127" s="10" t="n">
        <v>5</v>
      </c>
      <c r="E127" s="11" t="n">
        <v>3563</v>
      </c>
      <c r="F127" s="12">
        <f>IF(AND(D127&lt;&gt;"",E127&lt;&gt;""),D127*E127,"")</f>
        <v/>
      </c>
      <c r="G127" s="13" t="n"/>
      <c r="H127" s="13" t="n">
        <v>100</v>
      </c>
      <c r="I127" s="14" t="inlineStr">
        <is>
          <t>II- Machinery and Equipment</t>
        </is>
      </c>
      <c r="J127" s="9" t="inlineStr"/>
    </row>
    <row r="128">
      <c r="A128" s="8">
        <f>IF(AND(ISBLANK(B128),ISBLANK(C128),ISBLANK(D128),ISBLANK(E128),ISBLANK(G128),ISBLANK(H128),ISBLANK(J128)),"",ROW()-6)</f>
        <v/>
      </c>
      <c r="B128" s="9" t="inlineStr">
        <is>
          <t>Secondary Filter</t>
        </is>
      </c>
      <c r="C128" s="8" t="inlineStr">
        <is>
          <t>set</t>
        </is>
      </c>
      <c r="D128" s="10" t="n">
        <v>5</v>
      </c>
      <c r="E128" s="11" t="n">
        <v>714</v>
      </c>
      <c r="F128" s="12">
        <f>IF(AND(D128&lt;&gt;"",E128&lt;&gt;""),D128*E128,"")</f>
        <v/>
      </c>
      <c r="G128" s="13" t="n"/>
      <c r="H128" s="13" t="n">
        <v>100</v>
      </c>
      <c r="I128" s="14" t="inlineStr">
        <is>
          <t>II- Machinery and Equipment</t>
        </is>
      </c>
      <c r="J128" s="9" t="inlineStr"/>
    </row>
    <row r="129">
      <c r="A129" s="8">
        <f>IF(AND(ISBLANK(B129),ISBLANK(C129),ISBLANK(D129),ISBLANK(E129),ISBLANK(G129),ISBLANK(H129),ISBLANK(J129)),"",ROW()-6)</f>
        <v/>
      </c>
      <c r="B129" s="9" t="inlineStr">
        <is>
          <t>Self-Cleaning Pneumatic Gate#1</t>
        </is>
      </c>
      <c r="C129" s="8" t="inlineStr">
        <is>
          <t>set</t>
        </is>
      </c>
      <c r="D129" s="10" t="n">
        <v>18</v>
      </c>
      <c r="E129" s="11" t="n">
        <v>592</v>
      </c>
      <c r="F129" s="12">
        <f>IF(AND(D129&lt;&gt;"",E129&lt;&gt;""),D129*E129,"")</f>
        <v/>
      </c>
      <c r="G129" s="13" t="n"/>
      <c r="H129" s="13" t="n">
        <v>100</v>
      </c>
      <c r="I129" s="14" t="inlineStr">
        <is>
          <t>II- Machinery and Equipment</t>
        </is>
      </c>
      <c r="J129" s="9" t="inlineStr"/>
    </row>
    <row r="130">
      <c r="A130" s="8">
        <f>IF(AND(ISBLANK(B130),ISBLANK(C130),ISBLANK(D130),ISBLANK(E130),ISBLANK(G130),ISBLANK(H130),ISBLANK(J130)),"",ROW()-6)</f>
        <v/>
      </c>
      <c r="B130" s="9" t="inlineStr">
        <is>
          <t>Self-Cleaning Pneumatic Gate#2</t>
        </is>
      </c>
      <c r="C130" s="8" t="inlineStr">
        <is>
          <t>set</t>
        </is>
      </c>
      <c r="D130" s="10" t="n">
        <v>5</v>
      </c>
      <c r="E130" s="11" t="n">
        <v>709</v>
      </c>
      <c r="F130" s="12">
        <f>IF(AND(D130&lt;&gt;"",E130&lt;&gt;""),D130*E130,"")</f>
        <v/>
      </c>
      <c r="G130" s="13" t="n"/>
      <c r="H130" s="13" t="n">
        <v>100</v>
      </c>
      <c r="I130" s="14" t="inlineStr">
        <is>
          <t>II- Machinery and Equipment</t>
        </is>
      </c>
      <c r="J130" s="9" t="inlineStr"/>
    </row>
    <row r="131">
      <c r="A131" s="8">
        <f>IF(AND(ISBLANK(B131),ISBLANK(C131),ISBLANK(D131),ISBLANK(E131),ISBLANK(G131),ISBLANK(H131),ISBLANK(J131)),"",ROW()-6)</f>
        <v/>
      </c>
      <c r="B131" s="9" t="inlineStr">
        <is>
          <t>Self-Cleaning Scraper Conveyor#1</t>
        </is>
      </c>
      <c r="C131" s="8" t="inlineStr">
        <is>
          <t>set</t>
        </is>
      </c>
      <c r="D131" s="10" t="n">
        <v>2</v>
      </c>
      <c r="E131" s="11" t="n">
        <v>5446</v>
      </c>
      <c r="F131" s="12">
        <f>IF(AND(D131&lt;&gt;"",E131&lt;&gt;""),D131*E131,"")</f>
        <v/>
      </c>
      <c r="G131" s="13" t="n"/>
      <c r="H131" s="13" t="n">
        <v>100</v>
      </c>
      <c r="I131" s="14" t="inlineStr">
        <is>
          <t>II- Machinery and Equipment</t>
        </is>
      </c>
      <c r="J131" s="9" t="inlineStr"/>
    </row>
    <row r="132">
      <c r="A132" s="8">
        <f>IF(AND(ISBLANK(B132),ISBLANK(C132),ISBLANK(D132),ISBLANK(E132),ISBLANK(G132),ISBLANK(H132),ISBLANK(J132)),"",ROW()-6)</f>
        <v/>
      </c>
      <c r="B132" s="9" t="inlineStr">
        <is>
          <t>Self-Cleaning Scraper Conveyor#2</t>
        </is>
      </c>
      <c r="C132" s="8" t="inlineStr">
        <is>
          <t>set</t>
        </is>
      </c>
      <c r="D132" s="10" t="n">
        <v>2</v>
      </c>
      <c r="E132" s="11" t="n">
        <v>6395</v>
      </c>
      <c r="F132" s="12">
        <f>IF(AND(D132&lt;&gt;"",E132&lt;&gt;""),D132*E132,"")</f>
        <v/>
      </c>
      <c r="G132" s="13" t="n"/>
      <c r="H132" s="13" t="n">
        <v>100</v>
      </c>
      <c r="I132" s="14" t="inlineStr">
        <is>
          <t>II- Machinery and Equipment</t>
        </is>
      </c>
      <c r="J132" s="9" t="inlineStr"/>
    </row>
    <row r="133">
      <c r="A133" s="8">
        <f>IF(AND(ISBLANK(B133),ISBLANK(C133),ISBLANK(D133),ISBLANK(E133),ISBLANK(G133),ISBLANK(H133),ISBLANK(J133)),"",ROW()-6)</f>
        <v/>
      </c>
      <c r="B133" s="9" t="inlineStr">
        <is>
          <t>Settling Chamber</t>
        </is>
      </c>
      <c r="C133" s="8" t="inlineStr">
        <is>
          <t>set</t>
        </is>
      </c>
      <c r="D133" s="10" t="n">
        <v>2</v>
      </c>
      <c r="E133" s="11" t="n">
        <v>949</v>
      </c>
      <c r="F133" s="12">
        <f>IF(AND(D133&lt;&gt;"",E133&lt;&gt;""),D133*E133,"")</f>
        <v/>
      </c>
      <c r="G133" s="13" t="n"/>
      <c r="H133" s="13" t="n">
        <v>100</v>
      </c>
      <c r="I133" s="14" t="inlineStr">
        <is>
          <t>II- Machinery and Equipment</t>
        </is>
      </c>
      <c r="J133" s="9" t="inlineStr"/>
    </row>
    <row r="134">
      <c r="A134" s="8">
        <f>IF(AND(ISBLANK(B134),ISBLANK(C134),ISBLANK(D134),ISBLANK(E134),ISBLANK(G134),ISBLANK(H134),ISBLANK(J134)),"",ROW()-6)</f>
        <v/>
      </c>
      <c r="B134" s="9" t="inlineStr">
        <is>
          <t>Silencer#1</t>
        </is>
      </c>
      <c r="C134" s="8" t="inlineStr">
        <is>
          <t>set</t>
        </is>
      </c>
      <c r="D134" s="10" t="n">
        <v>5</v>
      </c>
      <c r="E134" s="11" t="n">
        <v>535</v>
      </c>
      <c r="F134" s="12">
        <f>IF(AND(D134&lt;&gt;"",E134&lt;&gt;""),D134*E134,"")</f>
        <v/>
      </c>
      <c r="G134" s="13" t="n"/>
      <c r="H134" s="13" t="n">
        <v>100</v>
      </c>
      <c r="I134" s="14" t="inlineStr">
        <is>
          <t>II- Machinery and Equipment</t>
        </is>
      </c>
      <c r="J134" s="9" t="inlineStr"/>
    </row>
    <row r="135">
      <c r="A135" s="8">
        <f>IF(AND(ISBLANK(B135),ISBLANK(C135),ISBLANK(D135),ISBLANK(E135),ISBLANK(G135),ISBLANK(H135),ISBLANK(J135)),"",ROW()-6)</f>
        <v/>
      </c>
      <c r="B135" s="9" t="inlineStr">
        <is>
          <t>Silencer#2</t>
        </is>
      </c>
      <c r="C135" s="8" t="inlineStr">
        <is>
          <t>set</t>
        </is>
      </c>
      <c r="D135" s="10" t="n">
        <v>2</v>
      </c>
      <c r="E135" s="11" t="n">
        <v>1891</v>
      </c>
      <c r="F135" s="12">
        <f>IF(AND(D135&lt;&gt;"",E135&lt;&gt;""),D135*E135,"")</f>
        <v/>
      </c>
      <c r="G135" s="13" t="n"/>
      <c r="H135" s="13" t="n">
        <v>100</v>
      </c>
      <c r="I135" s="14" t="inlineStr">
        <is>
          <t>II- Machinery and Equipment</t>
        </is>
      </c>
      <c r="J135" s="9" t="inlineStr"/>
    </row>
    <row r="136">
      <c r="A136" s="8">
        <f>IF(AND(ISBLANK(B136),ISBLANK(C136),ISBLANK(D136),ISBLANK(E136),ISBLANK(G136),ISBLANK(H136),ISBLANK(J136)),"",ROW()-6)</f>
        <v/>
      </c>
      <c r="B136" s="9" t="inlineStr">
        <is>
          <t>Single Shaft Conditioner</t>
        </is>
      </c>
      <c r="C136" s="8" t="inlineStr">
        <is>
          <t>set</t>
        </is>
      </c>
      <c r="D136" s="10" t="n">
        <v>2</v>
      </c>
      <c r="E136" s="11" t="n">
        <v>18719</v>
      </c>
      <c r="F136" s="12">
        <f>IF(AND(D136&lt;&gt;"",E136&lt;&gt;""),D136*E136,"")</f>
        <v/>
      </c>
      <c r="G136" s="13" t="n"/>
      <c r="H136" s="13" t="n">
        <v>100</v>
      </c>
      <c r="I136" s="14" t="inlineStr">
        <is>
          <t>II- Machinery and Equipment</t>
        </is>
      </c>
      <c r="J136" s="9" t="inlineStr"/>
    </row>
    <row r="137">
      <c r="A137" s="8">
        <f>IF(AND(ISBLANK(B137),ISBLANK(C137),ISBLANK(D137),ISBLANK(E137),ISBLANK(G137),ISBLANK(H137),ISBLANK(J137)),"",ROW()-6)</f>
        <v/>
      </c>
      <c r="B137" s="9" t="inlineStr">
        <is>
          <t>Single Shaft High-Speed Conditioner</t>
        </is>
      </c>
      <c r="C137" s="8" t="inlineStr">
        <is>
          <t>set</t>
        </is>
      </c>
      <c r="D137" s="10" t="n">
        <v>2</v>
      </c>
      <c r="E137" s="11" t="n">
        <v>18711</v>
      </c>
      <c r="F137" s="12">
        <f>IF(AND(D137&lt;&gt;"",E137&lt;&gt;""),D137*E137,"")</f>
        <v/>
      </c>
      <c r="G137" s="13" t="n"/>
      <c r="H137" s="13" t="n">
        <v>100</v>
      </c>
      <c r="I137" s="14" t="inlineStr">
        <is>
          <t>II- Machinery and Equipment</t>
        </is>
      </c>
      <c r="J137" s="9" t="inlineStr"/>
    </row>
    <row r="138">
      <c r="A138" s="8">
        <f>IF(AND(ISBLANK(B138),ISBLANK(C138),ISBLANK(D138),ISBLANK(E138),ISBLANK(G138),ISBLANK(H138),ISBLANK(J138)),"",ROW()-6)</f>
        <v/>
      </c>
      <c r="B138" s="9" t="inlineStr">
        <is>
          <t>Steam Flowmeter</t>
        </is>
      </c>
      <c r="C138" s="8" t="inlineStr">
        <is>
          <t>set</t>
        </is>
      </c>
      <c r="D138" s="10" t="n">
        <v>2</v>
      </c>
      <c r="E138" s="11" t="n">
        <v>5922</v>
      </c>
      <c r="F138" s="12">
        <f>IF(AND(D138&lt;&gt;"",E138&lt;&gt;""),D138*E138,"")</f>
        <v/>
      </c>
      <c r="G138" s="13" t="n"/>
      <c r="H138" s="13" t="n">
        <v>100</v>
      </c>
      <c r="I138" s="14" t="inlineStr">
        <is>
          <t>II- Machinery and Equipment</t>
        </is>
      </c>
      <c r="J138" s="9" t="inlineStr"/>
    </row>
    <row r="139">
      <c r="A139" s="8">
        <f>IF(AND(ISBLANK(B139),ISBLANK(C139),ISBLANK(D139),ISBLANK(E139),ISBLANK(G139),ISBLANK(H139),ISBLANK(J139)),"",ROW()-6)</f>
        <v/>
      </c>
      <c r="B139" s="9" t="inlineStr">
        <is>
          <t>Steam Pressure Regulator Assembly</t>
        </is>
      </c>
      <c r="C139" s="8" t="inlineStr">
        <is>
          <t>set</t>
        </is>
      </c>
      <c r="D139" s="10" t="n">
        <v>2</v>
      </c>
      <c r="E139" s="11" t="n">
        <v>18719</v>
      </c>
      <c r="F139" s="12">
        <f>IF(AND(D139&lt;&gt;"",E139&lt;&gt;""),D139*E139,"")</f>
        <v/>
      </c>
      <c r="G139" s="13" t="n"/>
      <c r="H139" s="13" t="n">
        <v>100</v>
      </c>
      <c r="I139" s="14" t="inlineStr">
        <is>
          <t>II- Machinery and Equipment</t>
        </is>
      </c>
      <c r="J139" s="9" t="inlineStr"/>
    </row>
    <row r="140">
      <c r="A140" s="8">
        <f>IF(AND(ISBLANK(B140),ISBLANK(C140),ISBLANK(D140),ISBLANK(E140),ISBLANK(G140),ISBLANK(H140),ISBLANK(J140)),"",ROW()-6)</f>
        <v/>
      </c>
      <c r="B140" s="9" t="inlineStr">
        <is>
          <t>Steam System of Extruder</t>
        </is>
      </c>
      <c r="C140" s="8" t="inlineStr">
        <is>
          <t>set</t>
        </is>
      </c>
      <c r="D140" s="10" t="n">
        <v>2</v>
      </c>
      <c r="E140" s="11" t="n">
        <v>5939</v>
      </c>
      <c r="F140" s="12">
        <f>IF(AND(D140&lt;&gt;"",E140&lt;&gt;""),D140*E140,"")</f>
        <v/>
      </c>
      <c r="G140" s="13" t="n"/>
      <c r="H140" s="13" t="n">
        <v>100</v>
      </c>
      <c r="I140" s="14" t="inlineStr">
        <is>
          <t>II- Machinery and Equipment</t>
        </is>
      </c>
      <c r="J140" s="9" t="inlineStr"/>
    </row>
    <row r="141">
      <c r="A141" s="8">
        <f>IF(AND(ISBLANK(B141),ISBLANK(C141),ISBLANK(D141),ISBLANK(E141),ISBLANK(G141),ISBLANK(H141),ISBLANK(J141)),"",ROW()-6)</f>
        <v/>
      </c>
      <c r="B141" s="9" t="inlineStr">
        <is>
          <t>Steam Valve for Dryer</t>
        </is>
      </c>
      <c r="C141" s="8" t="inlineStr">
        <is>
          <t>set</t>
        </is>
      </c>
      <c r="D141" s="10" t="n">
        <v>2</v>
      </c>
      <c r="E141" s="11" t="n">
        <v>9478</v>
      </c>
      <c r="F141" s="12">
        <f>IF(AND(D141&lt;&gt;"",E141&lt;&gt;""),D141*E141,"")</f>
        <v/>
      </c>
      <c r="G141" s="13" t="n"/>
      <c r="H141" s="13" t="n">
        <v>100</v>
      </c>
      <c r="I141" s="14" t="inlineStr">
        <is>
          <t>II- Machinery and Equipment</t>
        </is>
      </c>
      <c r="J141" s="9" t="inlineStr"/>
    </row>
    <row r="142">
      <c r="A142" s="8">
        <f>IF(AND(ISBLANK(B142),ISBLANK(C142),ISBLANK(D142),ISBLANK(E142),ISBLANK(G142),ISBLANK(H142),ISBLANK(J142)),"",ROW()-6)</f>
        <v/>
      </c>
      <c r="B142" s="9" t="inlineStr">
        <is>
          <t>Surge Hopper#1</t>
        </is>
      </c>
      <c r="C142" s="8" t="inlineStr">
        <is>
          <t>set</t>
        </is>
      </c>
      <c r="D142" s="10" t="n">
        <v>4</v>
      </c>
      <c r="E142" s="11" t="n">
        <v>178</v>
      </c>
      <c r="F142" s="12">
        <f>IF(AND(D142&lt;&gt;"",E142&lt;&gt;""),D142*E142,"")</f>
        <v/>
      </c>
      <c r="G142" s="13" t="n"/>
      <c r="H142" s="13" t="n">
        <v>100</v>
      </c>
      <c r="I142" s="14" t="inlineStr">
        <is>
          <t>II- Machinery and Equipment</t>
        </is>
      </c>
      <c r="J142" s="9" t="inlineStr"/>
    </row>
    <row r="143">
      <c r="A143" s="8">
        <f>IF(AND(ISBLANK(B143),ISBLANK(C143),ISBLANK(D143),ISBLANK(E143),ISBLANK(G143),ISBLANK(H143),ISBLANK(J143)),"",ROW()-6)</f>
        <v/>
      </c>
      <c r="B143" s="9" t="inlineStr">
        <is>
          <t>Surge Hopper#2</t>
        </is>
      </c>
      <c r="C143" s="8" t="inlineStr">
        <is>
          <t>set</t>
        </is>
      </c>
      <c r="D143" s="10" t="n">
        <v>2</v>
      </c>
      <c r="E143" s="11" t="n">
        <v>535</v>
      </c>
      <c r="F143" s="12">
        <f>IF(AND(D143&lt;&gt;"",E143&lt;&gt;""),D143*E143,"")</f>
        <v/>
      </c>
      <c r="G143" s="13" t="n"/>
      <c r="H143" s="13" t="n">
        <v>100</v>
      </c>
      <c r="I143" s="14" t="inlineStr">
        <is>
          <t>II- Machinery and Equipment</t>
        </is>
      </c>
      <c r="J143" s="9" t="inlineStr"/>
    </row>
    <row r="144">
      <c r="A144" s="8">
        <f>IF(AND(ISBLANK(B144),ISBLANK(C144),ISBLANK(D144),ISBLANK(E144),ISBLANK(G144),ISBLANK(H144),ISBLANK(J144)),"",ROW()-6)</f>
        <v/>
      </c>
      <c r="B144" s="9" t="inlineStr">
        <is>
          <t>Surge Hopper#3</t>
        </is>
      </c>
      <c r="C144" s="8" t="inlineStr">
        <is>
          <t>set</t>
        </is>
      </c>
      <c r="D144" s="10" t="n">
        <v>2</v>
      </c>
      <c r="E144" s="11" t="n">
        <v>710</v>
      </c>
      <c r="F144" s="12">
        <f>IF(AND(D144&lt;&gt;"",E144&lt;&gt;""),D144*E144,"")</f>
        <v/>
      </c>
      <c r="G144" s="13" t="n"/>
      <c r="H144" s="13" t="n">
        <v>100</v>
      </c>
      <c r="I144" s="14" t="inlineStr">
        <is>
          <t>II- Machinery and Equipment</t>
        </is>
      </c>
      <c r="J144" s="9" t="inlineStr"/>
    </row>
    <row r="145">
      <c r="A145" s="8">
        <f>IF(AND(ISBLANK(B145),ISBLANK(C145),ISBLANK(D145),ISBLANK(E145),ISBLANK(G145),ISBLANK(H145),ISBLANK(J145)),"",ROW()-6)</f>
        <v/>
      </c>
      <c r="B145" s="9" t="inlineStr">
        <is>
          <t>Surge Hopper#4</t>
        </is>
      </c>
      <c r="C145" s="8" t="inlineStr">
        <is>
          <t>set</t>
        </is>
      </c>
      <c r="D145" s="10" t="n">
        <v>2</v>
      </c>
      <c r="E145" s="11" t="n">
        <v>1071</v>
      </c>
      <c r="F145" s="12">
        <f>IF(AND(D145&lt;&gt;"",E145&lt;&gt;""),D145*E145,"")</f>
        <v/>
      </c>
      <c r="G145" s="13" t="n"/>
      <c r="H145" s="13" t="n">
        <v>100</v>
      </c>
      <c r="I145" s="14" t="inlineStr">
        <is>
          <t>II- Machinery and Equipment</t>
        </is>
      </c>
      <c r="J145" s="9" t="inlineStr"/>
    </row>
    <row r="146">
      <c r="A146" s="8">
        <f>IF(AND(ISBLANK(B146),ISBLANK(C146),ISBLANK(D146),ISBLANK(E146),ISBLANK(G146),ISBLANK(H146),ISBLANK(J146)),"",ROW()-6)</f>
        <v/>
      </c>
      <c r="B146" s="9" t="inlineStr">
        <is>
          <t>Surge Hopper#5</t>
        </is>
      </c>
      <c r="C146" s="8" t="inlineStr">
        <is>
          <t>set</t>
        </is>
      </c>
      <c r="D146" s="10" t="n">
        <v>2</v>
      </c>
      <c r="E146" s="11" t="n">
        <v>2131</v>
      </c>
      <c r="F146" s="12">
        <f>IF(AND(D146&lt;&gt;"",E146&lt;&gt;""),D146*E146,"")</f>
        <v/>
      </c>
      <c r="G146" s="13" t="n"/>
      <c r="H146" s="13" t="n">
        <v>100</v>
      </c>
      <c r="I146" s="14" t="inlineStr">
        <is>
          <t>II- Machinery and Equipment</t>
        </is>
      </c>
      <c r="J146" s="9" t="inlineStr"/>
    </row>
    <row r="147">
      <c r="A147" s="8">
        <f>IF(AND(ISBLANK(B147),ISBLANK(C147),ISBLANK(D147),ISBLANK(E147),ISBLANK(G147),ISBLANK(H147),ISBLANK(J147)),"",ROW()-6)</f>
        <v/>
      </c>
      <c r="B147" s="9" t="inlineStr">
        <is>
          <t>Surge Hopper#6</t>
        </is>
      </c>
      <c r="C147" s="8" t="inlineStr">
        <is>
          <t>set</t>
        </is>
      </c>
      <c r="D147" s="10" t="n">
        <v>2</v>
      </c>
      <c r="E147" s="11" t="n">
        <v>1421</v>
      </c>
      <c r="F147" s="12">
        <f>IF(AND(D147&lt;&gt;"",E147&lt;&gt;""),D147*E147,"")</f>
        <v/>
      </c>
      <c r="G147" s="13" t="n"/>
      <c r="H147" s="13" t="n">
        <v>100</v>
      </c>
      <c r="I147" s="14" t="inlineStr">
        <is>
          <t>II- Machinery and Equipment</t>
        </is>
      </c>
      <c r="J147" s="9" t="inlineStr"/>
    </row>
    <row r="148">
      <c r="A148" s="8">
        <f>IF(AND(ISBLANK(B148),ISBLANK(C148),ISBLANK(D148),ISBLANK(E148),ISBLANK(G148),ISBLANK(H148),ISBLANK(J148)),"",ROW()-6)</f>
        <v/>
      </c>
      <c r="B148" s="9" t="inlineStr">
        <is>
          <t>Surge Hopper#7</t>
        </is>
      </c>
      <c r="C148" s="8" t="inlineStr">
        <is>
          <t>set</t>
        </is>
      </c>
      <c r="D148" s="10" t="n">
        <v>4</v>
      </c>
      <c r="E148" s="11" t="n">
        <v>347</v>
      </c>
      <c r="F148" s="12">
        <f>IF(AND(D148&lt;&gt;"",E148&lt;&gt;""),D148*E148,"")</f>
        <v/>
      </c>
      <c r="G148" s="13" t="n"/>
      <c r="H148" s="13" t="n">
        <v>100</v>
      </c>
      <c r="I148" s="14" t="inlineStr">
        <is>
          <t>II- Machinery and Equipment</t>
        </is>
      </c>
      <c r="J148" s="9" t="inlineStr"/>
    </row>
    <row r="149">
      <c r="A149" s="8">
        <f>IF(AND(ISBLANK(B149),ISBLANK(C149),ISBLANK(D149),ISBLANK(E149),ISBLANK(G149),ISBLANK(H149),ISBLANK(J149)),"",ROW()-6)</f>
        <v/>
      </c>
      <c r="B149" s="9" t="inlineStr">
        <is>
          <t>Surge Hopper#8</t>
        </is>
      </c>
      <c r="C149" s="8" t="inlineStr">
        <is>
          <t>set</t>
        </is>
      </c>
      <c r="D149" s="10" t="n">
        <v>2</v>
      </c>
      <c r="E149" s="11" t="n">
        <v>463</v>
      </c>
      <c r="F149" s="12">
        <f>IF(AND(D149&lt;&gt;"",E149&lt;&gt;""),D149*E149,"")</f>
        <v/>
      </c>
      <c r="G149" s="13" t="n"/>
      <c r="H149" s="13" t="n">
        <v>100</v>
      </c>
      <c r="I149" s="14" t="inlineStr">
        <is>
          <t>II- Machinery and Equipment</t>
        </is>
      </c>
      <c r="J149" s="9" t="inlineStr"/>
    </row>
    <row r="150">
      <c r="A150" s="8">
        <f>IF(AND(ISBLANK(B150),ISBLANK(C150),ISBLANK(D150),ISBLANK(E150),ISBLANK(G150),ISBLANK(H150),ISBLANK(J150)),"",ROW()-6)</f>
        <v/>
      </c>
      <c r="B150" s="9" t="inlineStr">
        <is>
          <t>Twin-Screw Extruder</t>
        </is>
      </c>
      <c r="C150" s="8" t="inlineStr">
        <is>
          <t>set</t>
        </is>
      </c>
      <c r="D150" s="10" t="n">
        <v>2</v>
      </c>
      <c r="E150" s="11" t="n">
        <v>332812</v>
      </c>
      <c r="F150" s="12">
        <f>IF(AND(D150&lt;&gt;"",E150&lt;&gt;""),D150*E150,"")</f>
        <v/>
      </c>
      <c r="G150" s="13" t="n"/>
      <c r="H150" s="13" t="n">
        <v>100</v>
      </c>
      <c r="I150" s="14" t="inlineStr">
        <is>
          <t>II- Machinery and Equipment</t>
        </is>
      </c>
      <c r="J150" s="9" t="inlineStr"/>
    </row>
    <row r="151">
      <c r="A151" s="8">
        <f>IF(AND(ISBLANK(B151),ISBLANK(C151),ISBLANK(D151),ISBLANK(E151),ISBLANK(G151),ISBLANK(H151),ISBLANK(J151)),"",ROW()-6)</f>
        <v/>
      </c>
      <c r="B151" s="9" t="inlineStr">
        <is>
          <t>Ultrafine Pulverize</t>
        </is>
      </c>
      <c r="C151" s="8" t="inlineStr">
        <is>
          <t>set</t>
        </is>
      </c>
      <c r="D151" s="10" t="n">
        <v>3</v>
      </c>
      <c r="E151" s="11" t="n">
        <v>29095</v>
      </c>
      <c r="F151" s="12">
        <f>IF(AND(D151&lt;&gt;"",E151&lt;&gt;""),D151*E151,"")</f>
        <v/>
      </c>
      <c r="G151" s="13" t="n"/>
      <c r="H151" s="13" t="n">
        <v>100</v>
      </c>
      <c r="I151" s="14" t="inlineStr">
        <is>
          <t>II- Machinery and Equipment</t>
        </is>
      </c>
      <c r="J151" s="9" t="inlineStr"/>
    </row>
    <row r="152">
      <c r="A152" s="8">
        <f>IF(AND(ISBLANK(B152),ISBLANK(C152),ISBLANK(D152),ISBLANK(E152),ISBLANK(G152),ISBLANK(H152),ISBLANK(J152)),"",ROW()-6)</f>
        <v/>
      </c>
      <c r="B152" s="9" t="inlineStr">
        <is>
          <t>Ultrafine Pulverizing Chamber</t>
        </is>
      </c>
      <c r="C152" s="8" t="inlineStr">
        <is>
          <t>set</t>
        </is>
      </c>
      <c r="D152" s="10" t="n">
        <v>5</v>
      </c>
      <c r="E152" s="11" t="n">
        <v>3207</v>
      </c>
      <c r="F152" s="12">
        <f>IF(AND(D152&lt;&gt;"",E152&lt;&gt;""),D152*E152,"")</f>
        <v/>
      </c>
      <c r="G152" s="13" t="n"/>
      <c r="H152" s="13" t="n">
        <v>100</v>
      </c>
      <c r="I152" s="14" t="inlineStr">
        <is>
          <t>II- Machinery and Equipment</t>
        </is>
      </c>
      <c r="J152" s="9" t="inlineStr"/>
    </row>
    <row r="153">
      <c r="A153" s="8">
        <f>IF(AND(ISBLANK(B153),ISBLANK(C153),ISBLANK(D153),ISBLANK(E153),ISBLANK(G153),ISBLANK(H153),ISBLANK(J153)),"",ROW()-6)</f>
        <v/>
      </c>
      <c r="B153" s="9" t="inlineStr">
        <is>
          <t>Upper Level Indicator#1</t>
        </is>
      </c>
      <c r="C153" s="8" t="inlineStr">
        <is>
          <t>set</t>
        </is>
      </c>
      <c r="D153" s="10" t="n">
        <v>22</v>
      </c>
      <c r="E153" s="11" t="n">
        <v>381</v>
      </c>
      <c r="F153" s="12">
        <f>IF(AND(D153&lt;&gt;"",E153&lt;&gt;""),D153*E153,"")</f>
        <v/>
      </c>
      <c r="G153" s="13" t="n"/>
      <c r="H153" s="13" t="n">
        <v>100</v>
      </c>
      <c r="I153" s="14" t="inlineStr">
        <is>
          <t>II- Machinery and Equipment</t>
        </is>
      </c>
      <c r="J153" s="9" t="inlineStr"/>
    </row>
    <row r="154">
      <c r="A154" s="8">
        <f>IF(AND(ISBLANK(B154),ISBLANK(C154),ISBLANK(D154),ISBLANK(E154),ISBLANK(G154),ISBLANK(H154),ISBLANK(J154)),"",ROW()-6)</f>
        <v/>
      </c>
      <c r="B154" s="9" t="inlineStr">
        <is>
          <t>Upper Level Indicator#2</t>
        </is>
      </c>
      <c r="C154" s="8" t="inlineStr">
        <is>
          <t>set</t>
        </is>
      </c>
      <c r="D154" s="10" t="n">
        <v>11</v>
      </c>
      <c r="E154" s="11" t="n">
        <v>379</v>
      </c>
      <c r="F154" s="12">
        <f>IF(AND(D154&lt;&gt;"",E154&lt;&gt;""),D154*E154,"")</f>
        <v/>
      </c>
      <c r="G154" s="13" t="n"/>
      <c r="H154" s="13" t="n">
        <v>100</v>
      </c>
      <c r="I154" s="14" t="inlineStr">
        <is>
          <t>II- Machinery and Equipment</t>
        </is>
      </c>
      <c r="J154" s="9" t="inlineStr"/>
    </row>
    <row r="155">
      <c r="A155" s="8">
        <f>IF(AND(ISBLANK(B155),ISBLANK(C155),ISBLANK(D155),ISBLANK(E155),ISBLANK(G155),ISBLANK(H155),ISBLANK(J155)),"",ROW()-6)</f>
        <v/>
      </c>
      <c r="B155" s="9" t="inlineStr">
        <is>
          <t>Upper Level Indicator#3</t>
        </is>
      </c>
      <c r="C155" s="8" t="inlineStr">
        <is>
          <t>set</t>
        </is>
      </c>
      <c r="D155" s="10" t="n">
        <v>4</v>
      </c>
      <c r="E155" s="11" t="n">
        <v>368</v>
      </c>
      <c r="F155" s="12">
        <f>IF(AND(D155&lt;&gt;"",E155&lt;&gt;""),D155*E155,"")</f>
        <v/>
      </c>
      <c r="G155" s="13" t="n"/>
      <c r="H155" s="13" t="n">
        <v>100</v>
      </c>
      <c r="I155" s="14" t="inlineStr">
        <is>
          <t>II- Machinery and Equipment</t>
        </is>
      </c>
      <c r="J155" s="9" t="inlineStr"/>
    </row>
    <row r="156">
      <c r="A156" s="8">
        <f>IF(AND(ISBLANK(B156),ISBLANK(C156),ISBLANK(D156),ISBLANK(E156),ISBLANK(G156),ISBLANK(H156),ISBLANK(J156)),"",ROW()-6)</f>
        <v/>
      </c>
      <c r="B156" s="9" t="inlineStr">
        <is>
          <t>Vaporizing Cyclone#1</t>
        </is>
      </c>
      <c r="C156" s="8" t="inlineStr">
        <is>
          <t>set</t>
        </is>
      </c>
      <c r="D156" s="10" t="n">
        <v>2</v>
      </c>
      <c r="E156" s="11" t="n">
        <v>2369</v>
      </c>
      <c r="F156" s="12">
        <f>IF(AND(D156&lt;&gt;"",E156&lt;&gt;""),D156*E156,"")</f>
        <v/>
      </c>
      <c r="G156" s="13" t="n"/>
      <c r="H156" s="13" t="n">
        <v>100</v>
      </c>
      <c r="I156" s="14" t="inlineStr">
        <is>
          <t>II- Machinery and Equipment</t>
        </is>
      </c>
      <c r="J156" s="9" t="inlineStr"/>
    </row>
    <row r="157">
      <c r="A157" s="8">
        <f>IF(AND(ISBLANK(B157),ISBLANK(C157),ISBLANK(D157),ISBLANK(E157),ISBLANK(G157),ISBLANK(H157),ISBLANK(J157)),"",ROW()-6)</f>
        <v/>
      </c>
      <c r="B157" s="9" t="inlineStr">
        <is>
          <t>Vaporizing Cyclone#2</t>
        </is>
      </c>
      <c r="C157" s="8" t="inlineStr">
        <is>
          <t>set</t>
        </is>
      </c>
      <c r="D157" s="10" t="n">
        <v>2</v>
      </c>
      <c r="E157" s="11" t="n">
        <v>1372</v>
      </c>
      <c r="F157" s="12">
        <f>IF(AND(D157&lt;&gt;"",E157&lt;&gt;""),D157*E157,"")</f>
        <v/>
      </c>
      <c r="G157" s="13" t="n"/>
      <c r="H157" s="13" t="n">
        <v>100</v>
      </c>
      <c r="I157" s="14" t="inlineStr">
        <is>
          <t>II- Machinery and Equipment</t>
        </is>
      </c>
      <c r="J157" s="9" t="inlineStr"/>
    </row>
    <row r="158">
      <c r="A158" s="8">
        <f>IF(AND(ISBLANK(B158),ISBLANK(C158),ISBLANK(D158),ISBLANK(E158),ISBLANK(G158),ISBLANK(H158),ISBLANK(J158)),"",ROW()-6)</f>
        <v/>
      </c>
      <c r="B158" s="9" t="inlineStr">
        <is>
          <t>Vertical Vacuum Coater</t>
        </is>
      </c>
      <c r="C158" s="8" t="inlineStr">
        <is>
          <t>set</t>
        </is>
      </c>
      <c r="D158" s="10" t="n">
        <v>5</v>
      </c>
      <c r="E158" s="11" t="n">
        <v>74607</v>
      </c>
      <c r="F158" s="12">
        <f>IF(AND(D158&lt;&gt;"",E158&lt;&gt;""),D158*E158,"")</f>
        <v/>
      </c>
      <c r="G158" s="13" t="n"/>
      <c r="H158" s="13" t="n">
        <v>100</v>
      </c>
      <c r="I158" s="14" t="inlineStr">
        <is>
          <t>II- Machinery and Equipment</t>
        </is>
      </c>
      <c r="J158" s="9" t="inlineStr"/>
    </row>
    <row r="159">
      <c r="A159" s="8">
        <f>IF(AND(ISBLANK(B159),ISBLANK(C159),ISBLANK(D159),ISBLANK(E159),ISBLANK(G159),ISBLANK(H159),ISBLANK(J159)),"",ROW()-6)</f>
        <v/>
      </c>
      <c r="B159" s="9" t="inlineStr">
        <is>
          <t>Vibrating Pneumatic Hammer</t>
        </is>
      </c>
      <c r="C159" s="8" t="inlineStr">
        <is>
          <t>set</t>
        </is>
      </c>
      <c r="D159" s="10" t="n">
        <v>40</v>
      </c>
      <c r="E159" s="11" t="n">
        <v>225</v>
      </c>
      <c r="F159" s="12">
        <f>IF(AND(D159&lt;&gt;"",E159&lt;&gt;""),D159*E159,"")</f>
        <v/>
      </c>
      <c r="G159" s="13" t="n"/>
      <c r="H159" s="13" t="n">
        <v>100</v>
      </c>
      <c r="I159" s="14" t="inlineStr">
        <is>
          <t>II- Machinery and Equipment</t>
        </is>
      </c>
      <c r="J159" s="9" t="inlineStr"/>
    </row>
    <row r="160">
      <c r="A160" s="8">
        <f>IF(AND(ISBLANK(B160),ISBLANK(C160),ISBLANK(D160),ISBLANK(E160),ISBLANK(G160),ISBLANK(H160),ISBLANK(J160)),"",ROW()-6)</f>
        <v/>
      </c>
      <c r="B160" s="9" t="inlineStr">
        <is>
          <t>Vibrating Screen</t>
        </is>
      </c>
      <c r="C160" s="8" t="inlineStr">
        <is>
          <t>set</t>
        </is>
      </c>
      <c r="D160" s="10" t="n">
        <v>8</v>
      </c>
      <c r="E160" s="11" t="n">
        <v>3801</v>
      </c>
      <c r="F160" s="12">
        <f>IF(AND(D160&lt;&gt;"",E160&lt;&gt;""),D160*E160,"")</f>
        <v/>
      </c>
      <c r="G160" s="13" t="n"/>
      <c r="H160" s="13" t="n">
        <v>100</v>
      </c>
      <c r="I160" s="14" t="inlineStr">
        <is>
          <t>II- Machinery and Equipment</t>
        </is>
      </c>
      <c r="J160" s="9" t="inlineStr"/>
    </row>
    <row r="161">
      <c r="A161" s="8">
        <f>IF(AND(ISBLANK(B161),ISBLANK(C161),ISBLANK(D161),ISBLANK(E161),ISBLANK(G161),ISBLANK(H161),ISBLANK(J161)),"",ROW()-6)</f>
        <v/>
      </c>
      <c r="B161" s="9" t="inlineStr">
        <is>
          <t>Weighbridge</t>
        </is>
      </c>
      <c r="C161" s="8" t="inlineStr">
        <is>
          <t>set</t>
        </is>
      </c>
      <c r="D161" s="10" t="n">
        <v>3</v>
      </c>
      <c r="E161" s="11" t="n">
        <v>50000</v>
      </c>
      <c r="F161" s="12">
        <f>IF(AND(D161&lt;&gt;"",E161&lt;&gt;""),D161*E161,"")</f>
        <v/>
      </c>
      <c r="G161" s="13" t="n"/>
      <c r="H161" s="13" t="n">
        <v>100</v>
      </c>
      <c r="I161" s="14" t="inlineStr">
        <is>
          <t>II- Machinery and Equipment</t>
        </is>
      </c>
      <c r="J161" s="9" t="inlineStr"/>
    </row>
    <row r="162">
      <c r="A162" s="8">
        <f>IF(AND(ISBLANK(B162),ISBLANK(C162),ISBLANK(D162),ISBLANK(E162),ISBLANK(G162),ISBLANK(H162),ISBLANK(J162)),"",ROW()-6)</f>
        <v/>
      </c>
      <c r="B162" s="9" t="inlineStr">
        <is>
          <t>Scissors</t>
        </is>
      </c>
      <c r="C162" s="8" t="inlineStr">
        <is>
          <t>pair</t>
        </is>
      </c>
      <c r="D162" s="10" t="n">
        <v>100</v>
      </c>
      <c r="E162" s="11" t="n">
        <v>1.2</v>
      </c>
      <c r="F162" s="12">
        <f>IF(AND(D162&lt;&gt;"",E162&lt;&gt;""),D162*E162,"")</f>
        <v/>
      </c>
      <c r="G162" s="13" t="n"/>
      <c r="H162" s="13" t="n">
        <v>100</v>
      </c>
      <c r="I162" s="14" t="inlineStr">
        <is>
          <t>II- Machinery and Equipment</t>
        </is>
      </c>
      <c r="J162" s="9" t="inlineStr"/>
    </row>
    <row r="163">
      <c r="A163" s="8">
        <f>IF(AND(ISBLANK(B163),ISBLANK(C163),ISBLANK(D163),ISBLANK(E163),ISBLANK(G163),ISBLANK(H163),ISBLANK(J163)),"",ROW()-6)</f>
        <v/>
      </c>
      <c r="B163" s="9" t="inlineStr">
        <is>
          <t>Time Card</t>
        </is>
      </c>
      <c r="C163" s="8" t="inlineStr">
        <is>
          <t>box</t>
        </is>
      </c>
      <c r="D163" s="10" t="n">
        <v>250</v>
      </c>
      <c r="E163" s="11" t="n">
        <v>5.4</v>
      </c>
      <c r="F163" s="12">
        <f>IF(AND(D163&lt;&gt;"",E163&lt;&gt;""),D163*E163,"")</f>
        <v/>
      </c>
      <c r="G163" s="13" t="n"/>
      <c r="H163" s="13" t="n">
        <v>100</v>
      </c>
      <c r="I163" s="14" t="inlineStr">
        <is>
          <t>II- Machinery and Equipment</t>
        </is>
      </c>
      <c r="J163" s="9" t="inlineStr"/>
    </row>
    <row r="164">
      <c r="A164" s="8">
        <f>IF(AND(ISBLANK(B164),ISBLANK(C164),ISBLANK(D164),ISBLANK(E164),ISBLANK(G164),ISBLANK(H164),ISBLANK(J164)),"",ROW()-6)</f>
        <v/>
      </c>
      <c r="B164" s="9" t="inlineStr">
        <is>
          <t>Dummy</t>
        </is>
      </c>
      <c r="C164" s="8" t="inlineStr">
        <is>
          <t>set</t>
        </is>
      </c>
      <c r="D164" s="10" t="n">
        <v>6</v>
      </c>
      <c r="E164" s="11" t="n">
        <v>40</v>
      </c>
      <c r="F164" s="12">
        <f>IF(AND(D164&lt;&gt;"",E164&lt;&gt;""),D164*E164,"")</f>
        <v/>
      </c>
      <c r="G164" s="13" t="n"/>
      <c r="H164" s="13" t="n">
        <v>100</v>
      </c>
      <c r="I164" s="14" t="inlineStr">
        <is>
          <t>II- Machinery and Equipment</t>
        </is>
      </c>
      <c r="J164" s="9" t="inlineStr"/>
    </row>
    <row r="165">
      <c r="A165" s="8">
        <f>IF(AND(ISBLANK(B165),ISBLANK(C165),ISBLANK(D165),ISBLANK(E165),ISBLANK(G165),ISBLANK(H165),ISBLANK(J165)),"",ROW()-6)</f>
        <v/>
      </c>
      <c r="B165" s="9" t="inlineStr">
        <is>
          <t>Curtain</t>
        </is>
      </c>
      <c r="C165" s="8" t="inlineStr">
        <is>
          <t>pcs</t>
        </is>
      </c>
      <c r="D165" s="10" t="n">
        <v>750</v>
      </c>
      <c r="E165" s="11" t="n">
        <v>4</v>
      </c>
      <c r="F165" s="12">
        <f>IF(AND(D165&lt;&gt;"",E165&lt;&gt;""),D165*E165,"")</f>
        <v/>
      </c>
      <c r="G165" s="13" t="n"/>
      <c r="H165" s="13" t="n">
        <v>100</v>
      </c>
      <c r="I165" s="14" t="inlineStr">
        <is>
          <t>II- Machinery and Equipment</t>
        </is>
      </c>
      <c r="J165" s="9" t="inlineStr"/>
    </row>
    <row r="166">
      <c r="A166" s="8">
        <f>IF(AND(ISBLANK(B166),ISBLANK(C166),ISBLANK(D166),ISBLANK(E166),ISBLANK(G166),ISBLANK(H166),ISBLANK(J166)),"",ROW()-6)</f>
        <v/>
      </c>
      <c r="B166" s="9" t="inlineStr">
        <is>
          <t>Mixer</t>
        </is>
      </c>
      <c r="C166" s="8" t="inlineStr">
        <is>
          <t>set</t>
        </is>
      </c>
      <c r="D166" s="10" t="n">
        <v>5</v>
      </c>
      <c r="E166" s="11" t="n">
        <v>80</v>
      </c>
      <c r="F166" s="12">
        <f>IF(AND(D166&lt;&gt;"",E166&lt;&gt;""),D166*E166,"")</f>
        <v/>
      </c>
      <c r="G166" s="13" t="n"/>
      <c r="H166" s="13" t="n">
        <v>100</v>
      </c>
      <c r="I166" s="14" t="inlineStr">
        <is>
          <t>II- Machinery and Equipment</t>
        </is>
      </c>
      <c r="J166" s="9" t="inlineStr"/>
    </row>
    <row r="167">
      <c r="A167" s="8">
        <f>IF(AND(ISBLANK(B167),ISBLANK(C167),ISBLANK(D167),ISBLANK(E167),ISBLANK(G167),ISBLANK(H167),ISBLANK(J167)),"",ROW()-6)</f>
        <v/>
      </c>
      <c r="B167" s="9" t="inlineStr">
        <is>
          <t>Control Box</t>
        </is>
      </c>
      <c r="C167" s="8" t="inlineStr">
        <is>
          <t>set</t>
        </is>
      </c>
      <c r="D167" s="10" t="n">
        <v>25</v>
      </c>
      <c r="E167" s="11" t="n">
        <v>30</v>
      </c>
      <c r="F167" s="12">
        <f>IF(AND(D167&lt;&gt;"",E167&lt;&gt;""),D167*E167,"")</f>
        <v/>
      </c>
      <c r="G167" s="13" t="n"/>
      <c r="H167" s="13" t="n">
        <v>100</v>
      </c>
      <c r="I167" s="14" t="inlineStr">
        <is>
          <t>II- Machinery and Equipment</t>
        </is>
      </c>
      <c r="J167" s="9" t="inlineStr"/>
    </row>
    <row r="168">
      <c r="A168" s="8">
        <f>IF(AND(ISBLANK(B168),ISBLANK(C168),ISBLANK(D168),ISBLANK(E168),ISBLANK(G168),ISBLANK(H168),ISBLANK(J168)),"",ROW()-6)</f>
        <v/>
      </c>
      <c r="B168" s="9" t="inlineStr">
        <is>
          <t>Automatic Doors</t>
        </is>
      </c>
      <c r="C168" s="8" t="inlineStr">
        <is>
          <t>set</t>
        </is>
      </c>
      <c r="D168" s="10" t="n">
        <v>5</v>
      </c>
      <c r="E168" s="11" t="n">
        <v>600</v>
      </c>
      <c r="F168" s="12">
        <f>IF(AND(D168&lt;&gt;"",E168&lt;&gt;""),D168*E168,"")</f>
        <v/>
      </c>
      <c r="G168" s="13" t="n"/>
      <c r="H168" s="13" t="n">
        <v>100</v>
      </c>
      <c r="I168" s="14" t="inlineStr">
        <is>
          <t>II- Machinery and Equipment</t>
        </is>
      </c>
      <c r="J168" s="9" t="inlineStr"/>
    </row>
    <row r="169">
      <c r="A169" s="8">
        <f>IF(AND(ISBLANK(B169),ISBLANK(C169),ISBLANK(D169),ISBLANK(E169),ISBLANK(G169),ISBLANK(H169),ISBLANK(J169)),"",ROW()-6)</f>
        <v/>
      </c>
      <c r="B169" s="9" t="inlineStr">
        <is>
          <t>Activities Cabinet</t>
        </is>
      </c>
      <c r="C169" s="8" t="inlineStr">
        <is>
          <t>set</t>
        </is>
      </c>
      <c r="D169" s="10" t="n">
        <v>40</v>
      </c>
      <c r="E169" s="11" t="n">
        <v>48</v>
      </c>
      <c r="F169" s="12">
        <f>IF(AND(D169&lt;&gt;"",E169&lt;&gt;""),D169*E169,"")</f>
        <v/>
      </c>
      <c r="G169" s="13" t="n"/>
      <c r="H169" s="13" t="n">
        <v>100</v>
      </c>
      <c r="I169" s="14" t="inlineStr">
        <is>
          <t>II- Machinery and Equipment</t>
        </is>
      </c>
      <c r="J169" s="9" t="inlineStr"/>
    </row>
    <row r="170">
      <c r="A170" s="8">
        <f>IF(AND(ISBLANK(B170),ISBLANK(C170),ISBLANK(D170),ISBLANK(E170),ISBLANK(G170),ISBLANK(H170),ISBLANK(J170)),"",ROW()-6)</f>
        <v/>
      </c>
      <c r="B170" s="9" t="inlineStr">
        <is>
          <t>Shield</t>
        </is>
      </c>
      <c r="C170" s="8" t="inlineStr">
        <is>
          <t>set</t>
        </is>
      </c>
      <c r="D170" s="10" t="n">
        <v>10</v>
      </c>
      <c r="E170" s="11" t="n">
        <v>25</v>
      </c>
      <c r="F170" s="12">
        <f>IF(AND(D170&lt;&gt;"",E170&lt;&gt;""),D170*E170,"")</f>
        <v/>
      </c>
      <c r="G170" s="13" t="n"/>
      <c r="H170" s="13" t="n">
        <v>100</v>
      </c>
      <c r="I170" s="14" t="inlineStr">
        <is>
          <t>II- Machinery and Equipment</t>
        </is>
      </c>
      <c r="J170" s="9" t="inlineStr"/>
    </row>
    <row r="171">
      <c r="A171" s="8">
        <f>IF(AND(ISBLANK(B171),ISBLANK(C171),ISBLANK(D171),ISBLANK(E171),ISBLANK(G171),ISBLANK(H171),ISBLANK(J171)),"",ROW()-6)</f>
        <v/>
      </c>
      <c r="B171" s="9" t="inlineStr">
        <is>
          <t>Wheel</t>
        </is>
      </c>
      <c r="C171" s="8" t="inlineStr">
        <is>
          <t>pcs</t>
        </is>
      </c>
      <c r="D171" s="10" t="n">
        <v>500</v>
      </c>
      <c r="E171" s="11" t="n">
        <v>0.5</v>
      </c>
      <c r="F171" s="12">
        <f>IF(AND(D171&lt;&gt;"",E171&lt;&gt;""),D171*E171,"")</f>
        <v/>
      </c>
      <c r="G171" s="13" t="n"/>
      <c r="H171" s="13" t="n">
        <v>100</v>
      </c>
      <c r="I171" s="14" t="inlineStr">
        <is>
          <t>II- Machinery and Equipment</t>
        </is>
      </c>
      <c r="J171" s="9" t="inlineStr"/>
    </row>
    <row r="172">
      <c r="A172" s="8">
        <f>IF(AND(ISBLANK(B172),ISBLANK(C172),ISBLANK(D172),ISBLANK(E172),ISBLANK(G172),ISBLANK(H172),ISBLANK(J172)),"",ROW()-6)</f>
        <v/>
      </c>
      <c r="B172" s="9" t="inlineStr">
        <is>
          <t>Brush</t>
        </is>
      </c>
      <c r="C172" s="8" t="inlineStr">
        <is>
          <t>pcs</t>
        </is>
      </c>
      <c r="D172" s="10" t="n">
        <v>1500</v>
      </c>
      <c r="E172" s="11" t="n">
        <v>0.3</v>
      </c>
      <c r="F172" s="12">
        <f>IF(AND(D172&lt;&gt;"",E172&lt;&gt;""),D172*E172,"")</f>
        <v/>
      </c>
      <c r="G172" s="13" t="n"/>
      <c r="H172" s="13" t="n">
        <v>100</v>
      </c>
      <c r="I172" s="14" t="inlineStr">
        <is>
          <t>II- Machinery and Equipment</t>
        </is>
      </c>
      <c r="J172" s="9" t="inlineStr"/>
    </row>
    <row r="173">
      <c r="A173" s="8">
        <f>IF(AND(ISBLANK(B173),ISBLANK(C173),ISBLANK(D173),ISBLANK(E173),ISBLANK(G173),ISBLANK(H173),ISBLANK(J173)),"",ROW()-6)</f>
        <v/>
      </c>
      <c r="B173" s="9" t="inlineStr">
        <is>
          <t>Fluorescent Lamp</t>
        </is>
      </c>
      <c r="C173" s="8" t="inlineStr">
        <is>
          <t>set</t>
        </is>
      </c>
      <c r="D173" s="10" t="n">
        <v>250</v>
      </c>
      <c r="E173" s="11" t="n">
        <v>5</v>
      </c>
      <c r="F173" s="12">
        <f>IF(AND(D173&lt;&gt;"",E173&lt;&gt;""),D173*E173,"")</f>
        <v/>
      </c>
      <c r="G173" s="13" t="n"/>
      <c r="H173" s="13" t="n">
        <v>100</v>
      </c>
      <c r="I173" s="14" t="inlineStr">
        <is>
          <t>II- Machinery and Equipment</t>
        </is>
      </c>
      <c r="J173" s="9" t="inlineStr"/>
    </row>
    <row r="174">
      <c r="A174" s="8">
        <f>IF(AND(ISBLANK(B174),ISBLANK(C174),ISBLANK(D174),ISBLANK(E174),ISBLANK(G174),ISBLANK(H174),ISBLANK(J174)),"",ROW()-6)</f>
        <v/>
      </c>
      <c r="B174" s="9" t="inlineStr">
        <is>
          <t>Electric Cable</t>
        </is>
      </c>
      <c r="C174" s="8" t="inlineStr">
        <is>
          <t>m</t>
        </is>
      </c>
      <c r="D174" s="10" t="n">
        <v>20000</v>
      </c>
      <c r="E174" s="11" t="n">
        <v>4</v>
      </c>
      <c r="F174" s="12">
        <f>IF(AND(D174&lt;&gt;"",E174&lt;&gt;""),D174*E174,"")</f>
        <v/>
      </c>
      <c r="G174" s="13" t="n"/>
      <c r="H174" s="13" t="n">
        <v>100</v>
      </c>
      <c r="I174" s="14" t="inlineStr">
        <is>
          <t>II- Machinery and Equipment</t>
        </is>
      </c>
      <c r="J174" s="9" t="inlineStr"/>
    </row>
    <row r="175">
      <c r="A175" s="8">
        <f>IF(AND(ISBLANK(B175),ISBLANK(C175),ISBLANK(D175),ISBLANK(E175),ISBLANK(G175),ISBLANK(H175),ISBLANK(J175)),"",ROW()-6)</f>
        <v/>
      </c>
      <c r="B175" s="9" t="inlineStr">
        <is>
          <t>Electric Display</t>
        </is>
      </c>
      <c r="C175" s="8" t="inlineStr">
        <is>
          <t>set</t>
        </is>
      </c>
      <c r="D175" s="10" t="n">
        <v>3</v>
      </c>
      <c r="E175" s="11" t="n">
        <v>150</v>
      </c>
      <c r="F175" s="12">
        <f>IF(AND(D175&lt;&gt;"",E175&lt;&gt;""),D175*E175,"")</f>
        <v/>
      </c>
      <c r="G175" s="13" t="n"/>
      <c r="H175" s="13" t="n">
        <v>100</v>
      </c>
      <c r="I175" s="14" t="inlineStr">
        <is>
          <t>II- Machinery and Equipment</t>
        </is>
      </c>
      <c r="J175" s="9" t="inlineStr"/>
    </row>
    <row r="176">
      <c r="A176" s="8">
        <f>IF(AND(ISBLANK(B176),ISBLANK(C176),ISBLANK(D176),ISBLANK(E176),ISBLANK(G176),ISBLANK(H176),ISBLANK(J176)),"",ROW()-6)</f>
        <v/>
      </c>
      <c r="B176" s="9" t="inlineStr">
        <is>
          <t>Ceiling Fan</t>
        </is>
      </c>
      <c r="C176" s="8" t="inlineStr">
        <is>
          <t>set</t>
        </is>
      </c>
      <c r="D176" s="10" t="n">
        <v>200</v>
      </c>
      <c r="E176" s="11" t="n">
        <v>40</v>
      </c>
      <c r="F176" s="12">
        <f>IF(AND(D176&lt;&gt;"",E176&lt;&gt;""),D176*E176,"")</f>
        <v/>
      </c>
      <c r="G176" s="13" t="n"/>
      <c r="H176" s="13" t="n">
        <v>100</v>
      </c>
      <c r="I176" s="14" t="inlineStr">
        <is>
          <t>II- Machinery and Equipment</t>
        </is>
      </c>
      <c r="J176" s="9" t="inlineStr"/>
    </row>
    <row r="177">
      <c r="A177" s="8">
        <f>IF(AND(ISBLANK(B177),ISBLANK(C177),ISBLANK(D177),ISBLANK(E177),ISBLANK(G177),ISBLANK(H177),ISBLANK(J177)),"",ROW()-6)</f>
        <v/>
      </c>
      <c r="B177" s="9" t="inlineStr">
        <is>
          <t>Emergency Box</t>
        </is>
      </c>
      <c r="C177" s="8" t="inlineStr">
        <is>
          <t>set</t>
        </is>
      </c>
      <c r="D177" s="10" t="n">
        <v>100</v>
      </c>
      <c r="E177" s="11" t="n">
        <v>132</v>
      </c>
      <c r="F177" s="12">
        <f>IF(AND(D177&lt;&gt;"",E177&lt;&gt;""),D177*E177,"")</f>
        <v/>
      </c>
      <c r="G177" s="13" t="n"/>
      <c r="H177" s="13" t="n">
        <v>100</v>
      </c>
      <c r="I177" s="14" t="inlineStr">
        <is>
          <t>II- Machinery and Equipment</t>
        </is>
      </c>
      <c r="J177" s="9" t="inlineStr"/>
    </row>
    <row r="178">
      <c r="A178" s="8">
        <f>IF(AND(ISBLANK(B178),ISBLANK(C178),ISBLANK(D178),ISBLANK(E178),ISBLANK(G178),ISBLANK(H178),ISBLANK(J178)),"",ROW()-6)</f>
        <v/>
      </c>
      <c r="B178" s="9" t="inlineStr">
        <is>
          <t>Main Switch Board</t>
        </is>
      </c>
      <c r="C178" s="8" t="inlineStr">
        <is>
          <t>set</t>
        </is>
      </c>
      <c r="D178" s="10" t="n">
        <v>20</v>
      </c>
      <c r="E178" s="11" t="n">
        <v>4500</v>
      </c>
      <c r="F178" s="12">
        <f>IF(AND(D178&lt;&gt;"",E178&lt;&gt;""),D178*E178,"")</f>
        <v/>
      </c>
      <c r="G178" s="13" t="n"/>
      <c r="H178" s="13" t="n">
        <v>100</v>
      </c>
      <c r="I178" s="14" t="inlineStr">
        <is>
          <t>II- Machinery and Equipment</t>
        </is>
      </c>
      <c r="J178" s="9" t="inlineStr"/>
    </row>
    <row r="179">
      <c r="A179" s="8">
        <f>IF(AND(ISBLANK(B179),ISBLANK(C179),ISBLANK(D179),ISBLANK(E179),ISBLANK(G179),ISBLANK(H179),ISBLANK(J179)),"",ROW()-6)</f>
        <v/>
      </c>
      <c r="B179" s="9" t="inlineStr">
        <is>
          <t>Boiler Cleaning Water</t>
        </is>
      </c>
      <c r="C179" s="8" t="inlineStr">
        <is>
          <t>kg</t>
        </is>
      </c>
      <c r="D179" s="10" t="n">
        <v>3000</v>
      </c>
      <c r="E179" s="11" t="n">
        <v>1.5</v>
      </c>
      <c r="F179" s="12">
        <f>IF(AND(D179&lt;&gt;"",E179&lt;&gt;""),D179*E179,"")</f>
        <v/>
      </c>
      <c r="G179" s="13" t="n"/>
      <c r="H179" s="13" t="n">
        <v>100</v>
      </c>
      <c r="I179" s="14" t="inlineStr">
        <is>
          <t>II- Machinery and Equipment</t>
        </is>
      </c>
      <c r="J179" s="9" t="inlineStr"/>
    </row>
    <row r="180">
      <c r="A180" s="8">
        <f>IF(AND(ISBLANK(B180),ISBLANK(C180),ISBLANK(D180),ISBLANK(E180),ISBLANK(G180),ISBLANK(H180),ISBLANK(J180)),"",ROW()-6)</f>
        <v/>
      </c>
      <c r="B180" s="9" t="inlineStr">
        <is>
          <t>Steel Structure</t>
        </is>
      </c>
      <c r="C180" s="8" t="inlineStr">
        <is>
          <t>tons</t>
        </is>
      </c>
      <c r="D180" s="10" t="n">
        <v>15</v>
      </c>
      <c r="E180" s="11" t="n">
        <v>500</v>
      </c>
      <c r="F180" s="12">
        <f>IF(AND(D180&lt;&gt;"",E180&lt;&gt;""),D180*E180,"")</f>
        <v/>
      </c>
      <c r="G180" s="13" t="n"/>
      <c r="H180" s="13" t="n">
        <v>100</v>
      </c>
      <c r="I180" s="14" t="inlineStr">
        <is>
          <t>I- Construction Material</t>
        </is>
      </c>
      <c r="J180" s="9" t="inlineStr"/>
    </row>
    <row r="181">
      <c r="A181" s="8">
        <f>IF(AND(ISBLANK(B181),ISBLANK(C181),ISBLANK(D181),ISBLANK(E181),ISBLANK(G181),ISBLANK(H181),ISBLANK(J181)),"",ROW()-6)</f>
        <v/>
      </c>
      <c r="B181" s="9" t="inlineStr">
        <is>
          <t>Color Steel In Coil</t>
        </is>
      </c>
      <c r="C181" s="8" t="inlineStr">
        <is>
          <t>tons</t>
        </is>
      </c>
      <c r="D181" s="10" t="n">
        <v>15</v>
      </c>
      <c r="E181" s="11" t="n">
        <v>540</v>
      </c>
      <c r="F181" s="12">
        <f>IF(AND(D181&lt;&gt;"",E181&lt;&gt;""),D181*E181,"")</f>
        <v/>
      </c>
      <c r="G181" s="13" t="n"/>
      <c r="H181" s="13" t="n">
        <v>100</v>
      </c>
      <c r="I181" s="14" t="inlineStr">
        <is>
          <t>I- Construction Material</t>
        </is>
      </c>
      <c r="J181" s="9" t="inlineStr"/>
    </row>
    <row r="182">
      <c r="A182" s="8">
        <f>IF(AND(ISBLANK(B182),ISBLANK(C182),ISBLANK(D182),ISBLANK(E182),ISBLANK(G182),ISBLANK(H182),ISBLANK(J182)),"",ROW()-6)</f>
        <v/>
      </c>
      <c r="B182" s="9" t="inlineStr">
        <is>
          <t>Alloy Window Frame</t>
        </is>
      </c>
      <c r="C182" s="8" t="inlineStr">
        <is>
          <t>m2</t>
        </is>
      </c>
      <c r="D182" s="10" t="n">
        <v>500</v>
      </c>
      <c r="E182" s="11" t="n">
        <v>20</v>
      </c>
      <c r="F182" s="12">
        <f>IF(AND(D182&lt;&gt;"",E182&lt;&gt;""),D182*E182,"")</f>
        <v/>
      </c>
      <c r="G182" s="13" t="n"/>
      <c r="H182" s="13" t="n">
        <v>100</v>
      </c>
      <c r="I182" s="14" t="inlineStr">
        <is>
          <t>I- Construction Material</t>
        </is>
      </c>
      <c r="J182" s="9" t="inlineStr"/>
    </row>
    <row r="183">
      <c r="A183" s="8">
        <f>IF(AND(ISBLANK(B183),ISBLANK(C183),ISBLANK(D183),ISBLANK(E183),ISBLANK(G183),ISBLANK(H183),ISBLANK(J183)),"",ROW()-6)</f>
        <v/>
      </c>
      <c r="B183" s="9" t="inlineStr">
        <is>
          <t>Bolt</t>
        </is>
      </c>
      <c r="C183" s="8" t="inlineStr">
        <is>
          <t>pcs</t>
        </is>
      </c>
      <c r="D183" s="10" t="n">
        <v>2164000</v>
      </c>
      <c r="E183" s="11" t="n">
        <v>0.01</v>
      </c>
      <c r="F183" s="12">
        <f>IF(AND(D183&lt;&gt;"",E183&lt;&gt;""),D183*E183,"")</f>
        <v/>
      </c>
      <c r="G183" s="13" t="n"/>
      <c r="H183" s="13" t="n">
        <v>100</v>
      </c>
      <c r="I183" s="14" t="inlineStr">
        <is>
          <t>I- Construction Material</t>
        </is>
      </c>
      <c r="J183" s="9" t="inlineStr"/>
    </row>
    <row r="184">
      <c r="A184" s="8">
        <f>IF(AND(ISBLANK(B184),ISBLANK(C184),ISBLANK(D184),ISBLANK(E184),ISBLANK(G184),ISBLANK(H184),ISBLANK(J184)),"",ROW()-6)</f>
        <v/>
      </c>
      <c r="B184" s="9" t="inlineStr">
        <is>
          <t>Iron Wire</t>
        </is>
      </c>
      <c r="C184" s="8" t="inlineStr">
        <is>
          <t>tons</t>
        </is>
      </c>
      <c r="D184" s="10" t="n">
        <v>10</v>
      </c>
      <c r="E184" s="11" t="n">
        <v>850</v>
      </c>
      <c r="F184" s="12">
        <f>IF(AND(D184&lt;&gt;"",E184&lt;&gt;""),D184*E184,"")</f>
        <v/>
      </c>
      <c r="G184" s="13" t="n"/>
      <c r="H184" s="13" t="n">
        <v>100</v>
      </c>
      <c r="I184" s="14" t="inlineStr">
        <is>
          <t>I- Construction Material</t>
        </is>
      </c>
      <c r="J184" s="9" t="inlineStr"/>
    </row>
    <row r="185">
      <c r="A185" s="8">
        <f>IF(AND(ISBLANK(B185),ISBLANK(C185),ISBLANK(D185),ISBLANK(E185),ISBLANK(G185),ISBLANK(H185),ISBLANK(J185)),"",ROW()-6)</f>
        <v/>
      </c>
      <c r="B185" s="9" t="inlineStr">
        <is>
          <t>Metal Tube</t>
        </is>
      </c>
      <c r="C185" s="8" t="inlineStr">
        <is>
          <t>tons</t>
        </is>
      </c>
      <c r="D185" s="10" t="n">
        <v>15</v>
      </c>
      <c r="E185" s="11" t="n">
        <v>700</v>
      </c>
      <c r="F185" s="12">
        <f>IF(AND(D185&lt;&gt;"",E185&lt;&gt;""),D185*E185,"")</f>
        <v/>
      </c>
      <c r="G185" s="13" t="n"/>
      <c r="H185" s="13" t="n">
        <v>100</v>
      </c>
      <c r="I185" s="14" t="inlineStr">
        <is>
          <t>I- Construction Material</t>
        </is>
      </c>
      <c r="J185" s="9" t="inlineStr"/>
    </row>
    <row r="186">
      <c r="A186" s="8">
        <f>IF(AND(ISBLANK(B186),ISBLANK(C186),ISBLANK(D186),ISBLANK(E186),ISBLANK(G186),ISBLANK(H186),ISBLANK(J186)),"",ROW()-6)</f>
        <v/>
      </c>
      <c r="B186" s="9" t="inlineStr">
        <is>
          <t>Sewage Pump</t>
        </is>
      </c>
      <c r="C186" s="8" t="inlineStr">
        <is>
          <t>set</t>
        </is>
      </c>
      <c r="D186" s="10" t="n">
        <v>15</v>
      </c>
      <c r="E186" s="11" t="n">
        <v>1630</v>
      </c>
      <c r="F186" s="12">
        <f>IF(AND(D186&lt;&gt;"",E186&lt;&gt;""),D186*E186,"")</f>
        <v/>
      </c>
      <c r="G186" s="13" t="n"/>
      <c r="H186" s="13" t="n">
        <v>100</v>
      </c>
      <c r="I186" s="14" t="inlineStr">
        <is>
          <t>I- Construction Material</t>
        </is>
      </c>
      <c r="J186" s="9" t="inlineStr"/>
    </row>
    <row r="187">
      <c r="A187" s="8">
        <f>IF(AND(ISBLANK(B187),ISBLANK(C187),ISBLANK(D187),ISBLANK(E187),ISBLANK(G187),ISBLANK(H187),ISBLANK(J187)),"",ROW()-6)</f>
        <v/>
      </c>
      <c r="B187" s="9" t="inlineStr">
        <is>
          <t>H Type Steel</t>
        </is>
      </c>
      <c r="C187" s="8" t="inlineStr">
        <is>
          <t>tons</t>
        </is>
      </c>
      <c r="D187" s="10" t="n">
        <v>15</v>
      </c>
      <c r="E187" s="11" t="n">
        <v>650</v>
      </c>
      <c r="F187" s="12">
        <f>IF(AND(D187&lt;&gt;"",E187&lt;&gt;""),D187*E187,"")</f>
        <v/>
      </c>
      <c r="G187" s="13" t="n"/>
      <c r="H187" s="13" t="n">
        <v>100</v>
      </c>
      <c r="I187" s="14" t="inlineStr">
        <is>
          <t>I- Construction Material</t>
        </is>
      </c>
      <c r="J187" s="9" t="inlineStr"/>
    </row>
    <row r="188">
      <c r="A188" s="8">
        <f>IF(AND(ISBLANK(B188),ISBLANK(C188),ISBLANK(D188),ISBLANK(E188),ISBLANK(G188),ISBLANK(H188),ISBLANK(J188)),"",ROW()-6)</f>
        <v/>
      </c>
      <c r="B188" s="9" t="inlineStr">
        <is>
          <t>Channel Steel 10#</t>
        </is>
      </c>
      <c r="C188" s="8" t="inlineStr">
        <is>
          <t>tons</t>
        </is>
      </c>
      <c r="D188" s="10" t="n">
        <v>20</v>
      </c>
      <c r="E188" s="11" t="n">
        <v>70</v>
      </c>
      <c r="F188" s="12">
        <f>IF(AND(D188&lt;&gt;"",E188&lt;&gt;""),D188*E188,"")</f>
        <v/>
      </c>
      <c r="G188" s="13" t="n"/>
      <c r="H188" s="13" t="n">
        <v>100</v>
      </c>
      <c r="I188" s="14" t="inlineStr">
        <is>
          <t>I- Construction Material</t>
        </is>
      </c>
      <c r="J188" s="9" t="inlineStr"/>
    </row>
    <row r="189">
      <c r="A189" s="8">
        <f>IF(AND(ISBLANK(B189),ISBLANK(C189),ISBLANK(D189),ISBLANK(E189),ISBLANK(G189),ISBLANK(H189),ISBLANK(J189)),"",ROW()-6)</f>
        <v/>
      </c>
      <c r="B189" s="9" t="inlineStr">
        <is>
          <t>C Type Steel</t>
        </is>
      </c>
      <c r="C189" s="8" t="inlineStr">
        <is>
          <t>tons</t>
        </is>
      </c>
      <c r="D189" s="10" t="n">
        <v>18</v>
      </c>
      <c r="E189" s="11" t="n">
        <v>800</v>
      </c>
      <c r="F189" s="12">
        <f>IF(AND(D189&lt;&gt;"",E189&lt;&gt;""),D189*E189,"")</f>
        <v/>
      </c>
      <c r="G189" s="13" t="n"/>
      <c r="H189" s="13" t="n">
        <v>100</v>
      </c>
      <c r="I189" s="14" t="inlineStr">
        <is>
          <t>I- Construction Material</t>
        </is>
      </c>
      <c r="J189" s="9" t="inlineStr"/>
    </row>
    <row r="190">
      <c r="A190" s="8">
        <f>IF(AND(ISBLANK(B190),ISBLANK(C190),ISBLANK(D190),ISBLANK(E190),ISBLANK(G190),ISBLANK(H190),ISBLANK(J190)),"",ROW()-6)</f>
        <v/>
      </c>
      <c r="B190" s="9" t="inlineStr">
        <is>
          <t>Angle Iron 5#</t>
        </is>
      </c>
      <c r="C190" s="8" t="inlineStr">
        <is>
          <t>tons</t>
        </is>
      </c>
      <c r="D190" s="10" t="n">
        <v>18</v>
      </c>
      <c r="E190" s="11" t="n">
        <v>700</v>
      </c>
      <c r="F190" s="12">
        <f>IF(AND(D190&lt;&gt;"",E190&lt;&gt;""),D190*E190,"")</f>
        <v/>
      </c>
      <c r="G190" s="13" t="n"/>
      <c r="H190" s="13" t="n">
        <v>100</v>
      </c>
      <c r="I190" s="14" t="inlineStr">
        <is>
          <t>I- Construction Material</t>
        </is>
      </c>
      <c r="J190" s="9" t="inlineStr"/>
    </row>
    <row r="191">
      <c r="A191" s="8">
        <f>IF(AND(ISBLANK(B191),ISBLANK(C191),ISBLANK(D191),ISBLANK(E191),ISBLANK(G191),ISBLANK(H191),ISBLANK(J191)),"",ROW()-6)</f>
        <v/>
      </c>
      <c r="B191" s="9" t="inlineStr">
        <is>
          <t>Channel Steel 6#</t>
        </is>
      </c>
      <c r="C191" s="8" t="inlineStr">
        <is>
          <t>tons</t>
        </is>
      </c>
      <c r="D191" s="10" t="n">
        <v>24</v>
      </c>
      <c r="E191" s="11" t="n">
        <v>70</v>
      </c>
      <c r="F191" s="12">
        <f>IF(AND(D191&lt;&gt;"",E191&lt;&gt;""),D191*E191,"")</f>
        <v/>
      </c>
      <c r="G191" s="13" t="n"/>
      <c r="H191" s="13" t="n">
        <v>100</v>
      </c>
      <c r="I191" s="14" t="inlineStr">
        <is>
          <t>I- Construction Material</t>
        </is>
      </c>
      <c r="J191" s="9" t="inlineStr"/>
    </row>
    <row r="192">
      <c r="A192" s="8">
        <f>IF(AND(ISBLANK(B192),ISBLANK(C192),ISBLANK(D192),ISBLANK(E192),ISBLANK(G192),ISBLANK(H192),ISBLANK(J192)),"",ROW()-6)</f>
        <v/>
      </c>
      <c r="B192" s="9" t="inlineStr">
        <is>
          <t>PVC Tile</t>
        </is>
      </c>
      <c r="C192" s="8" t="inlineStr">
        <is>
          <t>tons</t>
        </is>
      </c>
      <c r="D192" s="10" t="n">
        <v>20</v>
      </c>
      <c r="E192" s="11" t="n">
        <v>200</v>
      </c>
      <c r="F192" s="12">
        <f>IF(AND(D192&lt;&gt;"",E192&lt;&gt;""),D192*E192,"")</f>
        <v/>
      </c>
      <c r="G192" s="13" t="n"/>
      <c r="H192" s="13" t="n">
        <v>100</v>
      </c>
      <c r="I192" s="14" t="inlineStr">
        <is>
          <t>I- Construction Material</t>
        </is>
      </c>
      <c r="J192" s="9" t="inlineStr"/>
    </row>
    <row r="193">
      <c r="A193" s="8">
        <f>IF(AND(ISBLANK(B193),ISBLANK(C193),ISBLANK(D193),ISBLANK(E193),ISBLANK(G193),ISBLANK(H193),ISBLANK(J193)),"",ROW()-6)</f>
        <v/>
      </c>
      <c r="B193" s="9" t="inlineStr">
        <is>
          <t>Square Steel</t>
        </is>
      </c>
      <c r="C193" s="8" t="inlineStr">
        <is>
          <t>tons</t>
        </is>
      </c>
      <c r="D193" s="10" t="n">
        <v>20</v>
      </c>
      <c r="E193" s="11" t="n">
        <v>660</v>
      </c>
      <c r="F193" s="12">
        <f>IF(AND(D193&lt;&gt;"",E193&lt;&gt;""),D193*E193,"")</f>
        <v/>
      </c>
      <c r="G193" s="13" t="n"/>
      <c r="H193" s="13" t="n">
        <v>100</v>
      </c>
      <c r="I193" s="14" t="inlineStr">
        <is>
          <t>I- Construction Material</t>
        </is>
      </c>
      <c r="J193" s="9" t="inlineStr"/>
    </row>
    <row r="194">
      <c r="A194" s="8">
        <f>IF(AND(ISBLANK(B194),ISBLANK(C194),ISBLANK(D194),ISBLANK(E194),ISBLANK(G194),ISBLANK(H194),ISBLANK(J194)),"",ROW()-6)</f>
        <v/>
      </c>
      <c r="B194" s="9" t="inlineStr">
        <is>
          <t>Galvanization Pipe</t>
        </is>
      </c>
      <c r="C194" s="8" t="inlineStr">
        <is>
          <t>tons</t>
        </is>
      </c>
      <c r="D194" s="10" t="n">
        <v>20</v>
      </c>
      <c r="E194" s="11" t="n">
        <v>650</v>
      </c>
      <c r="F194" s="12">
        <f>IF(AND(D194&lt;&gt;"",E194&lt;&gt;""),D194*E194,"")</f>
        <v/>
      </c>
      <c r="G194" s="13" t="n"/>
      <c r="H194" s="13" t="n">
        <v>100</v>
      </c>
      <c r="I194" s="14" t="inlineStr">
        <is>
          <t>I- Construction Material</t>
        </is>
      </c>
      <c r="J194" s="9" t="inlineStr"/>
    </row>
    <row r="195">
      <c r="A195" s="8">
        <f>IF(AND(ISBLANK(B195),ISBLANK(C195),ISBLANK(D195),ISBLANK(E195),ISBLANK(G195),ISBLANK(H195),ISBLANK(J195)),"",ROW()-6)</f>
        <v/>
      </c>
      <c r="B195" s="9" t="inlineStr">
        <is>
          <t>Iron Plate</t>
        </is>
      </c>
      <c r="C195" s="8" t="inlineStr">
        <is>
          <t>tons</t>
        </is>
      </c>
      <c r="D195" s="10" t="n">
        <v>450</v>
      </c>
      <c r="E195" s="11" t="n">
        <v>700</v>
      </c>
      <c r="F195" s="12">
        <f>IF(AND(D195&lt;&gt;"",E195&lt;&gt;""),D195*E195,"")</f>
        <v/>
      </c>
      <c r="G195" s="13" t="n"/>
      <c r="H195" s="13" t="n">
        <v>100</v>
      </c>
      <c r="I195" s="14" t="inlineStr">
        <is>
          <t>I- Construction Material</t>
        </is>
      </c>
      <c r="J195" s="9" t="inlineStr"/>
    </row>
    <row r="196">
      <c r="A196" s="8">
        <f>IF(AND(ISBLANK(B196),ISBLANK(C196),ISBLANK(D196),ISBLANK(E196),ISBLANK(G196),ISBLANK(H196),ISBLANK(J196)),"",ROW()-6)</f>
        <v/>
      </c>
      <c r="B196" s="9" t="inlineStr">
        <is>
          <t>Deformed Steel Bar</t>
        </is>
      </c>
      <c r="C196" s="8" t="inlineStr">
        <is>
          <t>tons</t>
        </is>
      </c>
      <c r="D196" s="10" t="n">
        <v>100</v>
      </c>
      <c r="E196" s="11" t="n">
        <v>600</v>
      </c>
      <c r="F196" s="12">
        <f>IF(AND(D196&lt;&gt;"",E196&lt;&gt;""),D196*E196,"")</f>
        <v/>
      </c>
      <c r="G196" s="13" t="n"/>
      <c r="H196" s="13" t="n">
        <v>100</v>
      </c>
      <c r="I196" s="14" t="inlineStr">
        <is>
          <t>I- Construction Material</t>
        </is>
      </c>
      <c r="J196" s="9" t="inlineStr"/>
    </row>
    <row r="197">
      <c r="A197" s="8">
        <f>IF(AND(ISBLANK(B197),ISBLANK(C197),ISBLANK(D197),ISBLANK(E197),ISBLANK(G197),ISBLANK(H197),ISBLANK(J197)),"",ROW()-6)</f>
        <v/>
      </c>
      <c r="B197" s="9" t="inlineStr">
        <is>
          <t>Explosion Proof Lights</t>
        </is>
      </c>
      <c r="C197" s="8" t="inlineStr">
        <is>
          <t>pcs</t>
        </is>
      </c>
      <c r="D197" s="10" t="n">
        <v>500</v>
      </c>
      <c r="E197" s="11" t="n">
        <v>69</v>
      </c>
      <c r="F197" s="12">
        <f>IF(AND(D197&lt;&gt;"",E197&lt;&gt;""),D197*E197,"")</f>
        <v/>
      </c>
      <c r="G197" s="13" t="n"/>
      <c r="H197" s="13" t="n">
        <v>100</v>
      </c>
      <c r="I197" s="14" t="inlineStr">
        <is>
          <t>I- Construction Material</t>
        </is>
      </c>
      <c r="J197" s="9" t="inlineStr"/>
    </row>
    <row r="198">
      <c r="A198" s="8">
        <f>IF(AND(ISBLANK(B198),ISBLANK(C198),ISBLANK(D198),ISBLANK(E198),ISBLANK(G198),ISBLANK(H198),ISBLANK(J198)),"",ROW()-6)</f>
        <v/>
      </c>
      <c r="B198" s="9" t="inlineStr">
        <is>
          <t>Mining Lamp</t>
        </is>
      </c>
      <c r="C198" s="8" t="inlineStr">
        <is>
          <t>pcs</t>
        </is>
      </c>
      <c r="D198" s="10" t="n">
        <v>500</v>
      </c>
      <c r="E198" s="11" t="n">
        <v>69.5</v>
      </c>
      <c r="F198" s="12">
        <f>IF(AND(D198&lt;&gt;"",E198&lt;&gt;""),D198*E198,"")</f>
        <v/>
      </c>
      <c r="G198" s="13" t="n"/>
      <c r="H198" s="13" t="n">
        <v>100</v>
      </c>
      <c r="I198" s="14" t="inlineStr">
        <is>
          <t>I- Construction Material</t>
        </is>
      </c>
      <c r="J198" s="9" t="inlineStr"/>
    </row>
    <row r="199">
      <c r="A199" s="8">
        <f>IF(AND(ISBLANK(B199),ISBLANK(C199),ISBLANK(D199),ISBLANK(E199),ISBLANK(G199),ISBLANK(H199),ISBLANK(J199)),"",ROW()-6)</f>
        <v/>
      </c>
      <c r="B199" s="9" t="inlineStr">
        <is>
          <t>Urinal</t>
        </is>
      </c>
      <c r="C199" s="8" t="inlineStr">
        <is>
          <t>set</t>
        </is>
      </c>
      <c r="D199" s="10" t="n">
        <v>50</v>
      </c>
      <c r="E199" s="11" t="n">
        <v>42</v>
      </c>
      <c r="F199" s="12">
        <f>IF(AND(D199&lt;&gt;"",E199&lt;&gt;""),D199*E199,"")</f>
        <v/>
      </c>
      <c r="G199" s="13" t="n"/>
      <c r="H199" s="13" t="n">
        <v>100</v>
      </c>
      <c r="I199" s="14" t="inlineStr">
        <is>
          <t>I- Construction Material</t>
        </is>
      </c>
      <c r="J199" s="9" t="inlineStr"/>
    </row>
    <row r="200">
      <c r="A200" s="8">
        <f>IF(AND(ISBLANK(B200),ISBLANK(C200),ISBLANK(D200),ISBLANK(E200),ISBLANK(G200),ISBLANK(H200),ISBLANK(J200)),"",ROW()-6)</f>
        <v/>
      </c>
      <c r="B200" s="9" t="inlineStr">
        <is>
          <t>Squatting Pot</t>
        </is>
      </c>
      <c r="C200" s="8" t="inlineStr">
        <is>
          <t>pcs</t>
        </is>
      </c>
      <c r="D200" s="10" t="n">
        <v>50</v>
      </c>
      <c r="E200" s="11" t="n">
        <v>27.8</v>
      </c>
      <c r="F200" s="12">
        <f>IF(AND(D200&lt;&gt;"",E200&lt;&gt;""),D200*E200,"")</f>
        <v/>
      </c>
      <c r="G200" s="13" t="n"/>
      <c r="H200" s="13" t="n">
        <v>100</v>
      </c>
      <c r="I200" s="14" t="inlineStr">
        <is>
          <t>I- Construction Material</t>
        </is>
      </c>
      <c r="J200" s="9" t="inlineStr"/>
    </row>
    <row r="201">
      <c r="A201" s="8">
        <f>IF(AND(ISBLANK(B201),ISBLANK(C201),ISBLANK(D201),ISBLANK(E201),ISBLANK(G201),ISBLANK(H201),ISBLANK(J201)),"",ROW()-6)</f>
        <v/>
      </c>
      <c r="B201" s="9" t="inlineStr">
        <is>
          <t>Expansion Screws</t>
        </is>
      </c>
      <c r="C201" s="8" t="inlineStr">
        <is>
          <t>pcs</t>
        </is>
      </c>
      <c r="D201" s="10" t="n">
        <v>20000</v>
      </c>
      <c r="E201" s="11" t="n">
        <v>0.1</v>
      </c>
      <c r="F201" s="12">
        <f>IF(AND(D201&lt;&gt;"",E201&lt;&gt;""),D201*E201,"")</f>
        <v/>
      </c>
      <c r="G201" s="13" t="n"/>
      <c r="H201" s="13" t="n">
        <v>100</v>
      </c>
      <c r="I201" s="14" t="inlineStr">
        <is>
          <t>I- Construction Material</t>
        </is>
      </c>
      <c r="J201" s="9" t="inlineStr"/>
    </row>
    <row r="202">
      <c r="A202" s="8">
        <f>IF(AND(ISBLANK(B202),ISBLANK(C202),ISBLANK(D202),ISBLANK(E202),ISBLANK(G202),ISBLANK(H202),ISBLANK(J202)),"",ROW()-6)</f>
        <v/>
      </c>
      <c r="B202" s="9" t="inlineStr">
        <is>
          <t>Self-Tapping Screw</t>
        </is>
      </c>
      <c r="C202" s="8" t="inlineStr">
        <is>
          <t>pcs</t>
        </is>
      </c>
      <c r="D202" s="10" t="n">
        <v>50000</v>
      </c>
      <c r="E202" s="11" t="n">
        <v>0.1</v>
      </c>
      <c r="F202" s="12">
        <f>IF(AND(D202&lt;&gt;"",E202&lt;&gt;""),D202*E202,"")</f>
        <v/>
      </c>
      <c r="G202" s="13" t="n"/>
      <c r="H202" s="13" t="n">
        <v>100</v>
      </c>
      <c r="I202" s="14" t="inlineStr">
        <is>
          <t>I- Construction Material</t>
        </is>
      </c>
      <c r="J202" s="9" t="inlineStr"/>
    </row>
    <row r="203">
      <c r="A203" s="8">
        <f>IF(AND(ISBLANK(B203),ISBLANK(C203),ISBLANK(D203),ISBLANK(E203),ISBLANK(G203),ISBLANK(H203),ISBLANK(J203)),"",ROW()-6)</f>
        <v/>
      </c>
      <c r="B203" s="9" t="inlineStr">
        <is>
          <t>Bellows Spring</t>
        </is>
      </c>
      <c r="C203" s="8" t="inlineStr">
        <is>
          <t>pcs</t>
        </is>
      </c>
      <c r="D203" s="10" t="n">
        <v>2000</v>
      </c>
      <c r="E203" s="11" t="n">
        <v>0.1</v>
      </c>
      <c r="F203" s="12">
        <f>IF(AND(D203&lt;&gt;"",E203&lt;&gt;""),D203*E203,"")</f>
        <v/>
      </c>
      <c r="G203" s="13" t="n"/>
      <c r="H203" s="13" t="n">
        <v>100</v>
      </c>
      <c r="I203" s="14" t="inlineStr">
        <is>
          <t>I- Construction Material</t>
        </is>
      </c>
      <c r="J203" s="9" t="inlineStr"/>
    </row>
    <row r="204">
      <c r="A204" s="8">
        <f>IF(AND(ISBLANK(B204),ISBLANK(C204),ISBLANK(D204),ISBLANK(E204),ISBLANK(G204),ISBLANK(H204),ISBLANK(J204)),"",ROW()-6)</f>
        <v/>
      </c>
      <c r="B204" s="9" t="inlineStr">
        <is>
          <t>Air Drum</t>
        </is>
      </c>
      <c r="C204" s="8" t="inlineStr">
        <is>
          <t>pcs</t>
        </is>
      </c>
      <c r="D204" s="10" t="n">
        <v>200</v>
      </c>
      <c r="E204" s="11" t="n">
        <v>100</v>
      </c>
      <c r="F204" s="12">
        <f>IF(AND(D204&lt;&gt;"",E204&lt;&gt;""),D204*E204,"")</f>
        <v/>
      </c>
      <c r="G204" s="13" t="n"/>
      <c r="H204" s="13" t="n">
        <v>100</v>
      </c>
      <c r="I204" s="14" t="inlineStr">
        <is>
          <t>I- Construction Material</t>
        </is>
      </c>
      <c r="J204" s="9" t="inlineStr"/>
    </row>
    <row r="205">
      <c r="A205" s="8">
        <f>IF(AND(ISBLANK(B205),ISBLANK(C205),ISBLANK(D205),ISBLANK(E205),ISBLANK(G205),ISBLANK(H205),ISBLANK(J205)),"",ROW()-6)</f>
        <v/>
      </c>
      <c r="B205" s="9" t="inlineStr">
        <is>
          <t>Air Pump Pipe</t>
        </is>
      </c>
      <c r="C205" s="8" t="inlineStr">
        <is>
          <t>pcs</t>
        </is>
      </c>
      <c r="D205" s="10" t="n">
        <v>200</v>
      </c>
      <c r="E205" s="11" t="n">
        <v>3</v>
      </c>
      <c r="F205" s="12">
        <f>IF(AND(D205&lt;&gt;"",E205&lt;&gt;""),D205*E205,"")</f>
        <v/>
      </c>
      <c r="G205" s="13" t="n"/>
      <c r="H205" s="13" t="n">
        <v>100</v>
      </c>
      <c r="I205" s="14" t="inlineStr">
        <is>
          <t>I- Construction Material</t>
        </is>
      </c>
      <c r="J205" s="9" t="inlineStr"/>
    </row>
    <row r="206">
      <c r="A206" s="8">
        <f>IF(AND(ISBLANK(B206),ISBLANK(C206),ISBLANK(D206),ISBLANK(E206),ISBLANK(G206),ISBLANK(H206),ISBLANK(J206)),"",ROW()-6)</f>
        <v/>
      </c>
      <c r="B206" s="9" t="inlineStr">
        <is>
          <t>Two-Way Air Pump Tube</t>
        </is>
      </c>
      <c r="C206" s="8" t="inlineStr">
        <is>
          <t>pcs</t>
        </is>
      </c>
      <c r="D206" s="10" t="n">
        <v>100</v>
      </c>
      <c r="E206" s="11" t="n">
        <v>3</v>
      </c>
      <c r="F206" s="12">
        <f>IF(AND(D206&lt;&gt;"",E206&lt;&gt;""),D206*E206,"")</f>
        <v/>
      </c>
      <c r="G206" s="13" t="n"/>
      <c r="H206" s="13" t="n">
        <v>100</v>
      </c>
      <c r="I206" s="14" t="inlineStr">
        <is>
          <t>I- Construction Material</t>
        </is>
      </c>
      <c r="J206" s="9" t="inlineStr"/>
    </row>
    <row r="207">
      <c r="A207" s="8">
        <f>IF(AND(ISBLANK(B207),ISBLANK(C207),ISBLANK(D207),ISBLANK(E207),ISBLANK(G207),ISBLANK(H207),ISBLANK(J207)),"",ROW()-6)</f>
        <v/>
      </c>
      <c r="B207" s="9" t="inlineStr">
        <is>
          <t>Three-Way Air Pump Tube</t>
        </is>
      </c>
      <c r="C207" s="8" t="inlineStr">
        <is>
          <t>pcs</t>
        </is>
      </c>
      <c r="D207" s="10" t="n">
        <v>100</v>
      </c>
      <c r="E207" s="11" t="n">
        <v>3</v>
      </c>
      <c r="F207" s="12">
        <f>IF(AND(D207&lt;&gt;"",E207&lt;&gt;""),D207*E207,"")</f>
        <v/>
      </c>
      <c r="G207" s="13" t="n"/>
      <c r="H207" s="13" t="n">
        <v>100</v>
      </c>
      <c r="I207" s="14" t="inlineStr">
        <is>
          <t>I- Construction Material</t>
        </is>
      </c>
      <c r="J207" s="9" t="inlineStr"/>
    </row>
    <row r="208">
      <c r="A208" s="8">
        <f>IF(AND(ISBLANK(B208),ISBLANK(C208),ISBLANK(D208),ISBLANK(E208),ISBLANK(G208),ISBLANK(H208),ISBLANK(J208)),"",ROW()-6)</f>
        <v/>
      </c>
      <c r="B208" s="9" t="inlineStr">
        <is>
          <t>Emergency Light</t>
        </is>
      </c>
      <c r="C208" s="8" t="inlineStr">
        <is>
          <t>pcs</t>
        </is>
      </c>
      <c r="D208" s="10" t="n">
        <v>500</v>
      </c>
      <c r="E208" s="11" t="n">
        <v>20</v>
      </c>
      <c r="F208" s="12">
        <f>IF(AND(D208&lt;&gt;"",E208&lt;&gt;""),D208*E208,"")</f>
        <v/>
      </c>
      <c r="G208" s="13" t="n"/>
      <c r="H208" s="13" t="n">
        <v>100</v>
      </c>
      <c r="I208" s="14" t="inlineStr">
        <is>
          <t>I- Construction Material</t>
        </is>
      </c>
      <c r="J208" s="9" t="inlineStr"/>
    </row>
    <row r="209">
      <c r="A209" s="8">
        <f>IF(AND(ISBLANK(B209),ISBLANK(C209),ISBLANK(D209),ISBLANK(E209),ISBLANK(G209),ISBLANK(H209),ISBLANK(J209)),"",ROW()-6)</f>
        <v/>
      </c>
      <c r="B209" s="9" t="inlineStr">
        <is>
          <t>Electric Wire</t>
        </is>
      </c>
      <c r="C209" s="8" t="inlineStr">
        <is>
          <t>roll</t>
        </is>
      </c>
      <c r="D209" s="10" t="n">
        <v>1000</v>
      </c>
      <c r="E209" s="11" t="n">
        <v>50</v>
      </c>
      <c r="F209" s="12">
        <f>IF(AND(D209&lt;&gt;"",E209&lt;&gt;""),D209*E209,"")</f>
        <v/>
      </c>
      <c r="G209" s="13" t="n"/>
      <c r="H209" s="13" t="n">
        <v>100</v>
      </c>
      <c r="I209" s="14" t="inlineStr">
        <is>
          <t>I- Construction Material</t>
        </is>
      </c>
      <c r="J209" s="9" t="inlineStr"/>
    </row>
    <row r="210">
      <c r="A210" s="8">
        <f>IF(AND(ISBLANK(B210),ISBLANK(C210),ISBLANK(D210),ISBLANK(E210),ISBLANK(G210),ISBLANK(H210),ISBLANK(J210)),"",ROW()-6)</f>
        <v/>
      </c>
      <c r="B210" s="9" t="inlineStr">
        <is>
          <t>Safety Exits Anti-Collision Net</t>
        </is>
      </c>
      <c r="C210" s="8" t="inlineStr">
        <is>
          <t>pcs</t>
        </is>
      </c>
      <c r="D210" s="10" t="n">
        <v>500</v>
      </c>
      <c r="E210" s="11" t="n">
        <v>3</v>
      </c>
      <c r="F210" s="12">
        <f>IF(AND(D210&lt;&gt;"",E210&lt;&gt;""),D210*E210,"")</f>
        <v/>
      </c>
      <c r="G210" s="13" t="n"/>
      <c r="H210" s="13" t="n">
        <v>100</v>
      </c>
      <c r="I210" s="14" t="inlineStr">
        <is>
          <t>I- Construction Material</t>
        </is>
      </c>
      <c r="J210" s="9" t="inlineStr"/>
    </row>
    <row r="211">
      <c r="A211" s="8">
        <f>IF(AND(ISBLANK(B211),ISBLANK(C211),ISBLANK(D211),ISBLANK(E211),ISBLANK(G211),ISBLANK(H211),ISBLANK(J211)),"",ROW()-6)</f>
        <v/>
      </c>
      <c r="B211" s="9" t="inlineStr">
        <is>
          <t>Floor Paint</t>
        </is>
      </c>
      <c r="C211" s="8" t="inlineStr">
        <is>
          <t>kg</t>
        </is>
      </c>
      <c r="D211" s="10" t="n">
        <v>5000</v>
      </c>
      <c r="E211" s="11" t="n">
        <v>3</v>
      </c>
      <c r="F211" s="12">
        <f>IF(AND(D211&lt;&gt;"",E211&lt;&gt;""),D211*E211,"")</f>
        <v/>
      </c>
      <c r="G211" s="13" t="n"/>
      <c r="H211" s="13" t="n">
        <v>100</v>
      </c>
      <c r="I211" s="14" t="inlineStr">
        <is>
          <t>I- Construction Material</t>
        </is>
      </c>
      <c r="J211" s="9" t="inlineStr"/>
    </row>
    <row r="212">
      <c r="A212" s="8">
        <f>IF(AND(ISBLANK(B212),ISBLANK(C212),ISBLANK(D212),ISBLANK(E212),ISBLANK(G212),ISBLANK(H212),ISBLANK(J212)),"",ROW()-6)</f>
        <v/>
      </c>
      <c r="B212" s="9" t="inlineStr">
        <is>
          <t>PVC Water Pipe</t>
        </is>
      </c>
      <c r="C212" s="8" t="inlineStr">
        <is>
          <t>pcs</t>
        </is>
      </c>
      <c r="D212" s="10" t="n">
        <v>1000</v>
      </c>
      <c r="E212" s="11" t="n">
        <v>2</v>
      </c>
      <c r="F212" s="12">
        <f>IF(AND(D212&lt;&gt;"",E212&lt;&gt;""),D212*E212,"")</f>
        <v/>
      </c>
      <c r="G212" s="13" t="n"/>
      <c r="H212" s="13" t="n">
        <v>100</v>
      </c>
      <c r="I212" s="14" t="inlineStr">
        <is>
          <t>I- Construction Material</t>
        </is>
      </c>
      <c r="J212" s="9" t="inlineStr"/>
    </row>
    <row r="213">
      <c r="A213" s="8">
        <f>IF(AND(ISBLANK(B213),ISBLANK(C213),ISBLANK(D213),ISBLANK(E213),ISBLANK(G213),ISBLANK(H213),ISBLANK(J213)),"",ROW()-6)</f>
        <v/>
      </c>
      <c r="B213" s="9" t="inlineStr">
        <is>
          <t>Bellow</t>
        </is>
      </c>
      <c r="C213" s="8" t="inlineStr">
        <is>
          <t>pcs</t>
        </is>
      </c>
      <c r="D213" s="10" t="n">
        <v>2000</v>
      </c>
      <c r="E213" s="11" t="n">
        <v>10</v>
      </c>
      <c r="F213" s="12">
        <f>IF(AND(D213&lt;&gt;"",E213&lt;&gt;""),D213*E213,"")</f>
        <v/>
      </c>
      <c r="G213" s="13" t="n"/>
      <c r="H213" s="13" t="n">
        <v>100</v>
      </c>
      <c r="I213" s="14" t="inlineStr">
        <is>
          <t>I- Construction Material</t>
        </is>
      </c>
      <c r="J213" s="9" t="inlineStr"/>
    </row>
    <row r="214">
      <c r="A214" s="8">
        <f>IF(AND(ISBLANK(B214),ISBLANK(C214),ISBLANK(D214),ISBLANK(E214),ISBLANK(G214),ISBLANK(H214),ISBLANK(J214)),"",ROW()-6)</f>
        <v/>
      </c>
      <c r="B214" s="9" t="inlineStr">
        <is>
          <t>Bridge Frame (Iron)</t>
        </is>
      </c>
      <c r="C214" s="8" t="inlineStr">
        <is>
          <t>m</t>
        </is>
      </c>
      <c r="D214" s="10" t="n">
        <v>5000</v>
      </c>
      <c r="E214" s="11" t="n">
        <v>20</v>
      </c>
      <c r="F214" s="12">
        <f>IF(AND(D214&lt;&gt;"",E214&lt;&gt;""),D214*E214,"")</f>
        <v/>
      </c>
      <c r="G214" s="13" t="n"/>
      <c r="H214" s="13" t="n">
        <v>100</v>
      </c>
      <c r="I214" s="14" t="inlineStr">
        <is>
          <t>I- Construction Material</t>
        </is>
      </c>
      <c r="J214" s="9" t="inlineStr"/>
    </row>
    <row r="215">
      <c r="A215" s="8">
        <f>IF(AND(ISBLANK(B215),ISBLANK(C215),ISBLANK(D215),ISBLANK(E215),ISBLANK(G215),ISBLANK(H215),ISBLANK(J215)),"",ROW()-6)</f>
        <v/>
      </c>
      <c r="B215" s="9" t="inlineStr">
        <is>
          <t>Elbow</t>
        </is>
      </c>
      <c r="C215" s="8" t="inlineStr">
        <is>
          <t>pcs</t>
        </is>
      </c>
      <c r="D215" s="10" t="n">
        <v>500</v>
      </c>
      <c r="E215" s="11" t="n">
        <v>5</v>
      </c>
      <c r="F215" s="12">
        <f>IF(AND(D215&lt;&gt;"",E215&lt;&gt;""),D215*E215,"")</f>
        <v/>
      </c>
      <c r="G215" s="13" t="n"/>
      <c r="H215" s="13" t="n">
        <v>100</v>
      </c>
      <c r="I215" s="14" t="inlineStr">
        <is>
          <t>I- Construction Material</t>
        </is>
      </c>
      <c r="J215" s="9" t="inlineStr"/>
    </row>
    <row r="216">
      <c r="A216" s="8">
        <f>IF(AND(ISBLANK(B216),ISBLANK(C216),ISBLANK(D216),ISBLANK(E216),ISBLANK(G216),ISBLANK(H216),ISBLANK(J216)),"",ROW()-6)</f>
        <v/>
      </c>
      <c r="B216" s="9" t="inlineStr">
        <is>
          <t>Flange Plate (Iron)</t>
        </is>
      </c>
      <c r="C216" s="8" t="inlineStr">
        <is>
          <t>pcs</t>
        </is>
      </c>
      <c r="D216" s="10" t="n">
        <v>500</v>
      </c>
      <c r="E216" s="11" t="n">
        <v>2</v>
      </c>
      <c r="F216" s="12">
        <f>IF(AND(D216&lt;&gt;"",E216&lt;&gt;""),D216*E216,"")</f>
        <v/>
      </c>
      <c r="G216" s="13" t="n"/>
      <c r="H216" s="13" t="n">
        <v>100</v>
      </c>
      <c r="I216" s="14" t="inlineStr">
        <is>
          <t>I- Construction Material</t>
        </is>
      </c>
      <c r="J216" s="9" t="inlineStr"/>
    </row>
    <row r="217">
      <c r="A217" s="8">
        <f>IF(AND(ISBLANK(B217),ISBLANK(C217),ISBLANK(D217),ISBLANK(E217),ISBLANK(G217),ISBLANK(H217),ISBLANK(J217)),"",ROW()-6)</f>
        <v/>
      </c>
      <c r="B217" s="9" t="inlineStr">
        <is>
          <t>Wash Table</t>
        </is>
      </c>
      <c r="C217" s="8" t="inlineStr">
        <is>
          <t>pcs</t>
        </is>
      </c>
      <c r="D217" s="10" t="n">
        <v>50</v>
      </c>
      <c r="E217" s="11" t="n">
        <v>300</v>
      </c>
      <c r="F217" s="12">
        <f>IF(AND(D217&lt;&gt;"",E217&lt;&gt;""),D217*E217,"")</f>
        <v/>
      </c>
      <c r="G217" s="13" t="n"/>
      <c r="H217" s="13" t="n">
        <v>100</v>
      </c>
      <c r="I217" s="14" t="inlineStr">
        <is>
          <t>I- Construction Material</t>
        </is>
      </c>
      <c r="J217" s="9" t="inlineStr"/>
    </row>
    <row r="218">
      <c r="A218" s="8">
        <f>IF(AND(ISBLANK(B218),ISBLANK(C218),ISBLANK(D218),ISBLANK(E218),ISBLANK(G218),ISBLANK(H218),ISBLANK(J218)),"",ROW()-6)</f>
        <v/>
      </c>
      <c r="B218" s="9" t="inlineStr">
        <is>
          <t>Oil-Water Separator</t>
        </is>
      </c>
      <c r="C218" s="8" t="inlineStr">
        <is>
          <t>pcs</t>
        </is>
      </c>
      <c r="D218" s="10" t="n">
        <v>50</v>
      </c>
      <c r="E218" s="11" t="n">
        <v>1000</v>
      </c>
      <c r="F218" s="12">
        <f>IF(AND(D218&lt;&gt;"",E218&lt;&gt;""),D218*E218,"")</f>
        <v/>
      </c>
      <c r="G218" s="13" t="n"/>
      <c r="H218" s="13" t="n">
        <v>100</v>
      </c>
      <c r="I218" s="14" t="inlineStr">
        <is>
          <t>I- Construction Material</t>
        </is>
      </c>
      <c r="J218" s="9" t="inlineStr"/>
    </row>
    <row r="219">
      <c r="A219" s="8">
        <f>IF(AND(ISBLANK(B219),ISBLANK(C219),ISBLANK(D219),ISBLANK(E219),ISBLANK(G219),ISBLANK(H219),ISBLANK(J219)),"",ROW()-6)</f>
        <v/>
      </c>
      <c r="B219" s="9" t="inlineStr">
        <is>
          <t>Fire Protection PP Pipe</t>
        </is>
      </c>
      <c r="C219" s="8" t="inlineStr">
        <is>
          <t>pcs</t>
        </is>
      </c>
      <c r="D219" s="10" t="n">
        <v>500</v>
      </c>
      <c r="E219" s="11" t="n">
        <v>10</v>
      </c>
      <c r="F219" s="12">
        <f>IF(AND(D219&lt;&gt;"",E219&lt;&gt;""),D219*E219,"")</f>
        <v/>
      </c>
      <c r="G219" s="13" t="n"/>
      <c r="H219" s="13" t="n">
        <v>100</v>
      </c>
      <c r="I219" s="14" t="inlineStr">
        <is>
          <t>I- Construction Material</t>
        </is>
      </c>
      <c r="J219" s="9" t="inlineStr"/>
    </row>
    <row r="220">
      <c r="A220" s="8">
        <f>IF(AND(ISBLANK(B220),ISBLANK(C220),ISBLANK(D220),ISBLANK(E220),ISBLANK(G220),ISBLANK(H220),ISBLANK(J220)),"",ROW()-6)</f>
        <v/>
      </c>
      <c r="B220" s="9" t="inlineStr">
        <is>
          <t>Fire Hydrants</t>
        </is>
      </c>
      <c r="C220" s="8" t="inlineStr">
        <is>
          <t>set</t>
        </is>
      </c>
      <c r="D220" s="10" t="n">
        <v>450</v>
      </c>
      <c r="E220" s="11" t="n">
        <v>300</v>
      </c>
      <c r="F220" s="12">
        <f>IF(AND(D220&lt;&gt;"",E220&lt;&gt;""),D220*E220,"")</f>
        <v/>
      </c>
      <c r="G220" s="13" t="n"/>
      <c r="H220" s="13" t="n">
        <v>100</v>
      </c>
      <c r="I220" s="14" t="inlineStr">
        <is>
          <t>I- Construction Material</t>
        </is>
      </c>
      <c r="J220" s="9" t="inlineStr"/>
    </row>
    <row r="221">
      <c r="A221" s="8">
        <f>IF(AND(ISBLANK(B221),ISBLANK(C221),ISBLANK(D221),ISBLANK(E221),ISBLANK(G221),ISBLANK(H221),ISBLANK(J221)),"",ROW()-6)</f>
        <v/>
      </c>
      <c r="B221" s="9" t="inlineStr">
        <is>
          <t>Drainage Pipe</t>
        </is>
      </c>
      <c r="C221" s="8" t="inlineStr">
        <is>
          <t>pcs</t>
        </is>
      </c>
      <c r="D221" s="10" t="n">
        <v>1000</v>
      </c>
      <c r="E221" s="11" t="n">
        <v>20</v>
      </c>
      <c r="F221" s="12">
        <f>IF(AND(D221&lt;&gt;"",E221&lt;&gt;""),D221*E221,"")</f>
        <v/>
      </c>
      <c r="G221" s="13" t="n"/>
      <c r="H221" s="13" t="n">
        <v>100</v>
      </c>
      <c r="I221" s="14" t="inlineStr">
        <is>
          <t>I- Construction Material</t>
        </is>
      </c>
      <c r="J221" s="9" t="inlineStr"/>
    </row>
    <row r="222">
      <c r="A222" s="8">
        <f>IF(AND(ISBLANK(B222),ISBLANK(C222),ISBLANK(D222),ISBLANK(E222),ISBLANK(G222),ISBLANK(H222),ISBLANK(J222)),"",ROW()-6)</f>
        <v/>
      </c>
      <c r="B222" s="9" t="inlineStr">
        <is>
          <t>PPR Pipe</t>
        </is>
      </c>
      <c r="C222" s="8" t="inlineStr">
        <is>
          <t>pcs</t>
        </is>
      </c>
      <c r="D222" s="10" t="n">
        <v>2000</v>
      </c>
      <c r="E222" s="11" t="n">
        <v>20</v>
      </c>
      <c r="F222" s="12">
        <f>IF(AND(D222&lt;&gt;"",E222&lt;&gt;""),D222*E222,"")</f>
        <v/>
      </c>
      <c r="G222" s="13" t="n"/>
      <c r="H222" s="13" t="n">
        <v>100</v>
      </c>
      <c r="I222" s="14" t="inlineStr">
        <is>
          <t>I- Construction Material</t>
        </is>
      </c>
      <c r="J222" s="9" t="inlineStr"/>
    </row>
    <row r="223">
      <c r="A223" s="8">
        <f>IF(AND(ISBLANK(B223),ISBLANK(C223),ISBLANK(D223),ISBLANK(E223),ISBLANK(G223),ISBLANK(H223),ISBLANK(J223)),"",ROW()-6)</f>
        <v/>
      </c>
      <c r="B223" s="9" t="inlineStr">
        <is>
          <t>Fire Extinguisher</t>
        </is>
      </c>
      <c r="C223" s="8" t="inlineStr">
        <is>
          <t>pcs</t>
        </is>
      </c>
      <c r="D223" s="10" t="n">
        <v>500</v>
      </c>
      <c r="E223" s="11" t="n">
        <v>20</v>
      </c>
      <c r="F223" s="12">
        <f>IF(AND(D223&lt;&gt;"",E223&lt;&gt;""),D223*E223,"")</f>
        <v/>
      </c>
      <c r="G223" s="13" t="n"/>
      <c r="H223" s="13" t="n">
        <v>100</v>
      </c>
      <c r="I223" s="14" t="inlineStr">
        <is>
          <t>I- Construction Material</t>
        </is>
      </c>
      <c r="J223" s="9" t="inlineStr"/>
    </row>
    <row r="224">
      <c r="A224" s="8">
        <f>IF(AND(ISBLANK(B224),ISBLANK(C224),ISBLANK(D224),ISBLANK(E224),ISBLANK(G224),ISBLANK(H224),ISBLANK(J224)),"",ROW()-6)</f>
        <v/>
      </c>
      <c r="B224" s="9" t="inlineStr">
        <is>
          <t>Fire Door</t>
        </is>
      </c>
      <c r="C224" s="8" t="inlineStr">
        <is>
          <t>pcs</t>
        </is>
      </c>
      <c r="D224" s="10" t="n">
        <v>100</v>
      </c>
      <c r="E224" s="11" t="n">
        <v>600</v>
      </c>
      <c r="F224" s="12">
        <f>IF(AND(D224&lt;&gt;"",E224&lt;&gt;""),D224*E224,"")</f>
        <v/>
      </c>
      <c r="G224" s="13" t="n"/>
      <c r="H224" s="13" t="n">
        <v>100</v>
      </c>
      <c r="I224" s="14" t="inlineStr">
        <is>
          <t>I- Construction Material</t>
        </is>
      </c>
      <c r="J224" s="9" t="inlineStr"/>
    </row>
    <row r="225">
      <c r="A225" s="8">
        <f>IF(AND(ISBLANK(B225),ISBLANK(C225),ISBLANK(D225),ISBLANK(E225),ISBLANK(G225),ISBLANK(H225),ISBLANK(J225)),"",ROW()-6)</f>
        <v/>
      </c>
      <c r="B225" s="9" t="inlineStr">
        <is>
          <t>Staff Desks And Chairs</t>
        </is>
      </c>
      <c r="C225" s="8" t="inlineStr">
        <is>
          <t>pcs</t>
        </is>
      </c>
      <c r="D225" s="10" t="n">
        <v>500</v>
      </c>
      <c r="E225" s="11" t="n">
        <v>100</v>
      </c>
      <c r="F225" s="12">
        <f>IF(AND(D225&lt;&gt;"",E225&lt;&gt;""),D225*E225,"")</f>
        <v/>
      </c>
      <c r="G225" s="13" t="n"/>
      <c r="H225" s="13" t="n">
        <v>100</v>
      </c>
      <c r="I225" s="14" t="inlineStr">
        <is>
          <t>I- Construction Material</t>
        </is>
      </c>
      <c r="J225" s="9" t="inlineStr"/>
    </row>
    <row r="226">
      <c r="A226" s="8">
        <f>IF(AND(ISBLANK(B226),ISBLANK(C226),ISBLANK(D226),ISBLANK(E226),ISBLANK(G226),ISBLANK(H226),ISBLANK(J226)),"",ROW()-6)</f>
        <v/>
      </c>
      <c r="B226" s="9" t="inlineStr">
        <is>
          <t>Water Cup Holder</t>
        </is>
      </c>
      <c r="C226" s="8" t="inlineStr">
        <is>
          <t>pcs</t>
        </is>
      </c>
      <c r="D226" s="10" t="n">
        <v>100</v>
      </c>
      <c r="E226" s="11" t="n">
        <v>100</v>
      </c>
      <c r="F226" s="12">
        <f>IF(AND(D226&lt;&gt;"",E226&lt;&gt;""),D226*E226,"")</f>
        <v/>
      </c>
      <c r="G226" s="13" t="n"/>
      <c r="H226" s="13" t="n">
        <v>100</v>
      </c>
      <c r="I226" s="14" t="inlineStr">
        <is>
          <t>I- Construction Material</t>
        </is>
      </c>
      <c r="J226" s="9" t="inlineStr"/>
    </row>
    <row r="227">
      <c r="A227" s="8">
        <f>IF(AND(ISBLANK(B227),ISBLANK(C227),ISBLANK(D227),ISBLANK(E227),ISBLANK(G227),ISBLANK(H227),ISBLANK(J227)),"",ROW()-6)</f>
        <v/>
      </c>
      <c r="B227" s="9" t="inlineStr">
        <is>
          <t>Bridge Frame Cover Plate Hanging Frame Air Pipe Valve</t>
        </is>
      </c>
      <c r="C227" s="8" t="inlineStr">
        <is>
          <t>pcs</t>
        </is>
      </c>
      <c r="D227" s="10" t="n">
        <v>1000</v>
      </c>
      <c r="E227" s="11" t="n">
        <v>5</v>
      </c>
      <c r="F227" s="12">
        <f>IF(AND(D227&lt;&gt;"",E227&lt;&gt;""),D227*E227,"")</f>
        <v/>
      </c>
      <c r="G227" s="13" t="n"/>
      <c r="H227" s="13" t="n">
        <v>100</v>
      </c>
      <c r="I227" s="14" t="inlineStr">
        <is>
          <t>I- Construction Material</t>
        </is>
      </c>
      <c r="J227" s="9" t="inlineStr"/>
    </row>
    <row r="228">
      <c r="A228" s="8">
        <f>IF(AND(ISBLANK(B228),ISBLANK(C228),ISBLANK(D228),ISBLANK(E228),ISBLANK(G228),ISBLANK(H228),ISBLANK(J228)),"",ROW()-6)</f>
        <v/>
      </c>
      <c r="B228" s="9" t="inlineStr">
        <is>
          <t>Thermometer</t>
        </is>
      </c>
      <c r="C228" s="8" t="inlineStr">
        <is>
          <t>pcs</t>
        </is>
      </c>
      <c r="D228" s="10" t="n">
        <v>100</v>
      </c>
      <c r="E228" s="11" t="n">
        <v>2</v>
      </c>
      <c r="F228" s="12">
        <f>IF(AND(D228&lt;&gt;"",E228&lt;&gt;""),D228*E228,"")</f>
        <v/>
      </c>
      <c r="G228" s="13" t="n"/>
      <c r="H228" s="13" t="n">
        <v>100</v>
      </c>
      <c r="I228" s="14" t="inlineStr">
        <is>
          <t>I- Construction Material</t>
        </is>
      </c>
      <c r="J228" s="9" t="inlineStr"/>
    </row>
    <row r="229">
      <c r="A229" s="8">
        <f>IF(AND(ISBLANK(B229),ISBLANK(C229),ISBLANK(D229),ISBLANK(E229),ISBLANK(G229),ISBLANK(H229),ISBLANK(J229)),"",ROW()-6)</f>
        <v/>
      </c>
      <c r="B229" s="9" t="inlineStr">
        <is>
          <t>Solar Street Lamp</t>
        </is>
      </c>
      <c r="C229" s="8" t="inlineStr">
        <is>
          <t>pcs</t>
        </is>
      </c>
      <c r="D229" s="10" t="n">
        <v>280</v>
      </c>
      <c r="E229" s="11" t="n">
        <v>200</v>
      </c>
      <c r="F229" s="12">
        <f>IF(AND(D229&lt;&gt;"",E229&lt;&gt;""),D229*E229,"")</f>
        <v/>
      </c>
      <c r="G229" s="13" t="n"/>
      <c r="H229" s="13" t="n">
        <v>100</v>
      </c>
      <c r="I229" s="14" t="inlineStr">
        <is>
          <t>I- Construction Material</t>
        </is>
      </c>
      <c r="J229" s="9" t="inlineStr"/>
    </row>
    <row r="230">
      <c r="A230" s="8">
        <f>IF(AND(ISBLANK(B230),ISBLANK(C230),ISBLANK(D230),ISBLANK(E230),ISBLANK(G230),ISBLANK(H230),ISBLANK(J230)),"",ROW()-6)</f>
        <v/>
      </c>
      <c r="B230" s="9" t="inlineStr">
        <is>
          <t>Air Conditioning Copper Tube</t>
        </is>
      </c>
      <c r="C230" s="8" t="inlineStr">
        <is>
          <t>pcs</t>
        </is>
      </c>
      <c r="D230" s="10" t="n">
        <v>100</v>
      </c>
      <c r="E230" s="11" t="n">
        <v>30</v>
      </c>
      <c r="F230" s="12">
        <f>IF(AND(D230&lt;&gt;"",E230&lt;&gt;""),D230*E230,"")</f>
        <v/>
      </c>
      <c r="G230" s="13" t="n"/>
      <c r="H230" s="13" t="n">
        <v>100</v>
      </c>
      <c r="I230" s="14" t="inlineStr">
        <is>
          <t>I- Construction Material</t>
        </is>
      </c>
      <c r="J230" s="9" t="inlineStr"/>
    </row>
    <row r="231">
      <c r="A231" s="8">
        <f>IF(AND(ISBLANK(B231),ISBLANK(C231),ISBLANK(D231),ISBLANK(E231),ISBLANK(G231),ISBLANK(H231),ISBLANK(J231)),"",ROW()-6)</f>
        <v/>
      </c>
      <c r="B231" s="9" t="inlineStr">
        <is>
          <t>Wrench</t>
        </is>
      </c>
      <c r="C231" s="8" t="inlineStr">
        <is>
          <t>pcs</t>
        </is>
      </c>
      <c r="D231" s="10" t="n">
        <v>200</v>
      </c>
      <c r="E231" s="11" t="n">
        <v>3</v>
      </c>
      <c r="F231" s="12">
        <f>IF(AND(D231&lt;&gt;"",E231&lt;&gt;""),D231*E231,"")</f>
        <v/>
      </c>
      <c r="G231" s="13" t="n"/>
      <c r="H231" s="13" t="n">
        <v>100</v>
      </c>
      <c r="I231" s="14" t="inlineStr">
        <is>
          <t>I- Construction Material</t>
        </is>
      </c>
      <c r="J231" s="9" t="inlineStr"/>
    </row>
    <row r="232">
      <c r="A232" s="8">
        <f>IF(AND(ISBLANK(B232),ISBLANK(C232),ISBLANK(D232),ISBLANK(E232),ISBLANK(G232),ISBLANK(H232),ISBLANK(J232)),"",ROW()-6)</f>
        <v/>
      </c>
      <c r="B232" s="9" t="inlineStr">
        <is>
          <t>Hammer</t>
        </is>
      </c>
      <c r="C232" s="8" t="inlineStr">
        <is>
          <t>pcs</t>
        </is>
      </c>
      <c r="D232" s="10" t="n">
        <v>100</v>
      </c>
      <c r="E232" s="11" t="n">
        <v>1</v>
      </c>
      <c r="F232" s="12">
        <f>IF(AND(D232&lt;&gt;"",E232&lt;&gt;""),D232*E232,"")</f>
        <v/>
      </c>
      <c r="G232" s="13" t="n"/>
      <c r="H232" s="13" t="n">
        <v>100</v>
      </c>
      <c r="I232" s="14" t="inlineStr">
        <is>
          <t>I- Construction Material</t>
        </is>
      </c>
      <c r="J232" s="9" t="inlineStr"/>
    </row>
    <row r="233">
      <c r="A233" s="8">
        <f>IF(AND(ISBLANK(B233),ISBLANK(C233),ISBLANK(D233),ISBLANK(E233),ISBLANK(G233),ISBLANK(H233),ISBLANK(J233)),"",ROW()-6)</f>
        <v/>
      </c>
      <c r="B233" s="9" t="inlineStr">
        <is>
          <t>Glass Adhesive</t>
        </is>
      </c>
      <c r="C233" s="8" t="inlineStr">
        <is>
          <t>pcs</t>
        </is>
      </c>
      <c r="D233" s="10" t="n">
        <v>500</v>
      </c>
      <c r="E233" s="11" t="n">
        <v>5</v>
      </c>
      <c r="F233" s="12">
        <f>IF(AND(D233&lt;&gt;"",E233&lt;&gt;""),D233*E233,"")</f>
        <v/>
      </c>
      <c r="G233" s="13" t="n"/>
      <c r="H233" s="13" t="n">
        <v>100</v>
      </c>
      <c r="I233" s="14" t="inlineStr">
        <is>
          <t>I- Construction Material</t>
        </is>
      </c>
      <c r="J233" s="9" t="inlineStr"/>
    </row>
    <row r="234">
      <c r="A234" s="8">
        <f>IF(AND(ISBLANK(B234),ISBLANK(C234),ISBLANK(D234),ISBLANK(E234),ISBLANK(G234),ISBLANK(H234),ISBLANK(J234)),"",ROW()-6)</f>
        <v/>
      </c>
      <c r="B234" s="9" t="inlineStr">
        <is>
          <t>Electric Glue Gun‌</t>
        </is>
      </c>
      <c r="C234" s="8" t="inlineStr">
        <is>
          <t>pcs</t>
        </is>
      </c>
      <c r="D234" s="10" t="n">
        <v>100</v>
      </c>
      <c r="E234" s="11" t="n">
        <v>8</v>
      </c>
      <c r="F234" s="12">
        <f>IF(AND(D234&lt;&gt;"",E234&lt;&gt;""),D234*E234,"")</f>
        <v/>
      </c>
      <c r="G234" s="13" t="n"/>
      <c r="H234" s="13" t="n">
        <v>100</v>
      </c>
      <c r="I234" s="14" t="inlineStr">
        <is>
          <t>I- Construction Material</t>
        </is>
      </c>
      <c r="J234" s="9" t="inlineStr"/>
    </row>
    <row r="235">
      <c r="A235" s="8">
        <f>IF(AND(ISBLANK(B235),ISBLANK(C235),ISBLANK(D235),ISBLANK(E235),ISBLANK(G235),ISBLANK(H235),ISBLANK(J235)),"",ROW()-6)</f>
        <v/>
      </c>
      <c r="B235" s="9" t="inlineStr">
        <is>
          <t>Teflon Tape</t>
        </is>
      </c>
      <c r="C235" s="8" t="inlineStr">
        <is>
          <t>pcs</t>
        </is>
      </c>
      <c r="D235" s="10" t="n">
        <v>500</v>
      </c>
      <c r="E235" s="11" t="n">
        <v>0.5</v>
      </c>
      <c r="F235" s="12">
        <f>IF(AND(D235&lt;&gt;"",E235&lt;&gt;""),D235*E235,"")</f>
        <v/>
      </c>
      <c r="G235" s="13" t="n"/>
      <c r="H235" s="13" t="n">
        <v>100</v>
      </c>
      <c r="I235" s="14" t="inlineStr">
        <is>
          <t>I- Construction Material</t>
        </is>
      </c>
      <c r="J235" s="9" t="inlineStr"/>
    </row>
    <row r="236">
      <c r="A236" s="8">
        <f>IF(AND(ISBLANK(B236),ISBLANK(C236),ISBLANK(D236),ISBLANK(E236),ISBLANK(G236),ISBLANK(H236),ISBLANK(J236)),"",ROW()-6)</f>
        <v/>
      </c>
      <c r="B236" s="9" t="inlineStr">
        <is>
          <t>Water Pipe Elbow</t>
        </is>
      </c>
      <c r="C236" s="8" t="inlineStr">
        <is>
          <t>pcs</t>
        </is>
      </c>
      <c r="D236" s="10" t="n">
        <v>500</v>
      </c>
      <c r="E236" s="11" t="n">
        <v>1</v>
      </c>
      <c r="F236" s="12">
        <f>IF(AND(D236&lt;&gt;"",E236&lt;&gt;""),D236*E236,"")</f>
        <v/>
      </c>
      <c r="G236" s="13" t="n"/>
      <c r="H236" s="13" t="n">
        <v>100</v>
      </c>
      <c r="I236" s="14" t="inlineStr">
        <is>
          <t>I- Construction Material</t>
        </is>
      </c>
      <c r="J236" s="9" t="inlineStr"/>
    </row>
    <row r="237">
      <c r="A237" s="8">
        <f>IF(AND(ISBLANK(B237),ISBLANK(C237),ISBLANK(D237),ISBLANK(E237),ISBLANK(G237),ISBLANK(H237),ISBLANK(J237)),"",ROW()-6)</f>
        <v/>
      </c>
      <c r="B237" s="9" t="inlineStr">
        <is>
          <t>Water Pipe Joint</t>
        </is>
      </c>
      <c r="C237" s="8" t="inlineStr">
        <is>
          <t>pcs</t>
        </is>
      </c>
      <c r="D237" s="10" t="n">
        <v>500</v>
      </c>
      <c r="E237" s="11" t="n">
        <v>1</v>
      </c>
      <c r="F237" s="12">
        <f>IF(AND(D237&lt;&gt;"",E237&lt;&gt;""),D237*E237,"")</f>
        <v/>
      </c>
      <c r="G237" s="13" t="n"/>
      <c r="H237" s="13" t="n">
        <v>100</v>
      </c>
      <c r="I237" s="14" t="inlineStr">
        <is>
          <t>I- Construction Material</t>
        </is>
      </c>
      <c r="J237" s="9" t="inlineStr"/>
    </row>
    <row r="238">
      <c r="A238" s="8">
        <f>IF(AND(ISBLANK(B238),ISBLANK(C238),ISBLANK(D238),ISBLANK(E238),ISBLANK(G238),ISBLANK(H238),ISBLANK(J238)),"",ROW()-6)</f>
        <v/>
      </c>
      <c r="B238" s="9" t="inlineStr">
        <is>
          <t>High-Voltage Electrical Cabinet</t>
        </is>
      </c>
      <c r="C238" s="8" t="inlineStr">
        <is>
          <t>pcs</t>
        </is>
      </c>
      <c r="D238" s="10" t="n">
        <v>10</v>
      </c>
      <c r="E238" s="11" t="n">
        <v>100</v>
      </c>
      <c r="F238" s="12">
        <f>IF(AND(D238&lt;&gt;"",E238&lt;&gt;""),D238*E238,"")</f>
        <v/>
      </c>
      <c r="G238" s="13" t="n"/>
      <c r="H238" s="13" t="n">
        <v>100</v>
      </c>
      <c r="I238" s="14" t="inlineStr">
        <is>
          <t>I- Construction Material</t>
        </is>
      </c>
      <c r="J238" s="9" t="inlineStr"/>
    </row>
    <row r="239">
      <c r="A239" s="8">
        <f>IF(AND(ISBLANK(B239),ISBLANK(C239),ISBLANK(D239),ISBLANK(E239),ISBLANK(G239),ISBLANK(H239),ISBLANK(J239)),"",ROW()-6)</f>
        <v/>
      </c>
      <c r="B239" s="9" t="inlineStr">
        <is>
          <t>Low-Voltage Electrical Cabinet</t>
        </is>
      </c>
      <c r="C239" s="8" t="inlineStr">
        <is>
          <t>pcs</t>
        </is>
      </c>
      <c r="D239" s="10" t="n">
        <v>10</v>
      </c>
      <c r="E239" s="11" t="n">
        <v>100</v>
      </c>
      <c r="F239" s="12">
        <f>IF(AND(D239&lt;&gt;"",E239&lt;&gt;""),D239*E239,"")</f>
        <v/>
      </c>
      <c r="G239" s="13" t="n"/>
      <c r="H239" s="13" t="n">
        <v>100</v>
      </c>
      <c r="I239" s="14" t="inlineStr">
        <is>
          <t>I- Construction Material</t>
        </is>
      </c>
      <c r="J239" s="9" t="inlineStr"/>
    </row>
    <row r="240">
      <c r="A240" s="8">
        <f>IF(AND(ISBLANK(B240),ISBLANK(C240),ISBLANK(D240),ISBLANK(E240),ISBLANK(G240),ISBLANK(H240),ISBLANK(J240)),"",ROW()-6)</f>
        <v/>
      </c>
      <c r="B240" s="9" t="inlineStr">
        <is>
          <t>Distribution Box</t>
        </is>
      </c>
      <c r="C240" s="8" t="inlineStr">
        <is>
          <t>pcs</t>
        </is>
      </c>
      <c r="D240" s="10" t="n">
        <v>10</v>
      </c>
      <c r="E240" s="11" t="n">
        <v>100</v>
      </c>
      <c r="F240" s="12">
        <f>IF(AND(D240&lt;&gt;"",E240&lt;&gt;""),D240*E240,"")</f>
        <v/>
      </c>
      <c r="G240" s="13" t="n"/>
      <c r="H240" s="13" t="n">
        <v>100</v>
      </c>
      <c r="I240" s="14" t="inlineStr">
        <is>
          <t>I- Construction Material</t>
        </is>
      </c>
      <c r="J240" s="9" t="inlineStr"/>
    </row>
    <row r="241">
      <c r="A241" s="8">
        <f>IF(AND(ISBLANK(B241),ISBLANK(C241),ISBLANK(D241),ISBLANK(E241),ISBLANK(G241),ISBLANK(H241),ISBLANK(J241)),"",ROW()-6)</f>
        <v/>
      </c>
      <c r="B241" s="9" t="inlineStr">
        <is>
          <t>Cable</t>
        </is>
      </c>
      <c r="C241" s="8" t="inlineStr">
        <is>
          <t>m</t>
        </is>
      </c>
      <c r="D241" s="10" t="n">
        <v>1500</v>
      </c>
      <c r="E241" s="11" t="n">
        <v>60</v>
      </c>
      <c r="F241" s="12">
        <f>IF(AND(D241&lt;&gt;"",E241&lt;&gt;""),D241*E241,"")</f>
        <v/>
      </c>
      <c r="G241" s="13" t="n"/>
      <c r="H241" s="13" t="n">
        <v>100</v>
      </c>
      <c r="I241" s="14" t="inlineStr">
        <is>
          <t>I- Construction Material</t>
        </is>
      </c>
      <c r="J241" s="9" t="inlineStr"/>
    </row>
    <row r="242">
      <c r="A242" s="8">
        <f>IF(AND(ISBLANK(B242),ISBLANK(C242),ISBLANK(D242),ISBLANK(E242),ISBLANK(G242),ISBLANK(H242),ISBLANK(J242)),"",ROW()-6)</f>
        <v/>
      </c>
      <c r="B242" s="9" t="inlineStr">
        <is>
          <t>Bench Grinder</t>
        </is>
      </c>
      <c r="C242" s="8" t="inlineStr">
        <is>
          <t>set</t>
        </is>
      </c>
      <c r="D242" s="10" t="n">
        <v>2</v>
      </c>
      <c r="E242" s="11" t="n">
        <v>210</v>
      </c>
      <c r="F242" s="12">
        <f>IF(AND(D242&lt;&gt;"",E242&lt;&gt;""),D242*E242,"")</f>
        <v/>
      </c>
      <c r="G242" s="13" t="n"/>
      <c r="H242" s="13" t="n">
        <v>100</v>
      </c>
      <c r="I242" s="14" t="inlineStr">
        <is>
          <t>I- Construction Material</t>
        </is>
      </c>
      <c r="J242" s="9" t="inlineStr"/>
    </row>
    <row r="243">
      <c r="A243" s="8">
        <f>IF(AND(ISBLANK(B243),ISBLANK(C243),ISBLANK(D243),ISBLANK(E243),ISBLANK(G243),ISBLANK(H243),ISBLANK(J243)),"",ROW()-6)</f>
        <v/>
      </c>
      <c r="B243" s="9" t="inlineStr">
        <is>
          <t>Bench Clamp</t>
        </is>
      </c>
      <c r="C243" s="8" t="inlineStr">
        <is>
          <t>set</t>
        </is>
      </c>
      <c r="D243" s="10" t="n">
        <v>2</v>
      </c>
      <c r="E243" s="11" t="n">
        <v>70</v>
      </c>
      <c r="F243" s="12">
        <f>IF(AND(D243&lt;&gt;"",E243&lt;&gt;""),D243*E243,"")</f>
        <v/>
      </c>
      <c r="G243" s="13" t="n"/>
      <c r="H243" s="13" t="n">
        <v>100</v>
      </c>
      <c r="I243" s="14" t="inlineStr">
        <is>
          <t>I- Construction Material</t>
        </is>
      </c>
      <c r="J243" s="9" t="inlineStr"/>
    </row>
    <row r="244">
      <c r="A244" s="8">
        <f>IF(AND(ISBLANK(B244),ISBLANK(C244),ISBLANK(D244),ISBLANK(E244),ISBLANK(G244),ISBLANK(H244),ISBLANK(J244)),"",ROW()-6)</f>
        <v/>
      </c>
      <c r="B244" s="9" t="inlineStr">
        <is>
          <t>Double Sticky Tape</t>
        </is>
      </c>
      <c r="C244" s="8" t="inlineStr">
        <is>
          <t>box</t>
        </is>
      </c>
      <c r="D244" s="10" t="n">
        <v>5</v>
      </c>
      <c r="E244" s="11" t="n">
        <v>50</v>
      </c>
      <c r="F244" s="12">
        <f>IF(AND(D244&lt;&gt;"",E244&lt;&gt;""),D244*E244,"")</f>
        <v/>
      </c>
      <c r="G244" s="13" t="n"/>
      <c r="H244" s="13" t="n">
        <v>100</v>
      </c>
      <c r="I244" s="14" t="inlineStr">
        <is>
          <t>I- Construction Material</t>
        </is>
      </c>
      <c r="J244" s="9" t="inlineStr"/>
    </row>
    <row r="245">
      <c r="A245" s="8">
        <f>IF(AND(ISBLANK(B245),ISBLANK(C245),ISBLANK(D245),ISBLANK(E245),ISBLANK(G245),ISBLANK(H245),ISBLANK(J245)),"",ROW()-6)</f>
        <v/>
      </c>
      <c r="B245" s="9" t="inlineStr">
        <is>
          <t>Floor-Standing Small Cold Air Blower</t>
        </is>
      </c>
      <c r="C245" s="8" t="inlineStr">
        <is>
          <t>set</t>
        </is>
      </c>
      <c r="D245" s="10" t="n">
        <v>60</v>
      </c>
      <c r="E245" s="11" t="n">
        <v>120</v>
      </c>
      <c r="F245" s="12">
        <f>IF(AND(D245&lt;&gt;"",E245&lt;&gt;""),D245*E245,"")</f>
        <v/>
      </c>
      <c r="G245" s="13" t="n"/>
      <c r="H245" s="13" t="n">
        <v>100</v>
      </c>
      <c r="I245" s="14" t="inlineStr">
        <is>
          <t>I- Construction Material</t>
        </is>
      </c>
      <c r="J245" s="9" t="inlineStr"/>
    </row>
    <row r="246">
      <c r="A246" s="8">
        <f>IF(AND(ISBLANK(B246),ISBLANK(C246),ISBLANK(D246),ISBLANK(E246),ISBLANK(G246),ISBLANK(H246),ISBLANK(J246)),"",ROW()-6)</f>
        <v/>
      </c>
      <c r="B246" s="9" t="inlineStr">
        <is>
          <t>Hot-Dip Galvanized Tube</t>
        </is>
      </c>
      <c r="C246" s="8" t="inlineStr">
        <is>
          <t>tons</t>
        </is>
      </c>
      <c r="D246" s="10" t="n">
        <v>1000</v>
      </c>
      <c r="E246" s="11" t="n">
        <v>850</v>
      </c>
      <c r="F246" s="12">
        <f>IF(AND(D246&lt;&gt;"",E246&lt;&gt;""),D246*E246,"")</f>
        <v/>
      </c>
      <c r="G246" s="13" t="n"/>
      <c r="H246" s="13" t="n">
        <v>100</v>
      </c>
      <c r="I246" s="14" t="inlineStr">
        <is>
          <t>I- Construction Material</t>
        </is>
      </c>
      <c r="J246" s="9" t="inlineStr"/>
    </row>
    <row r="247">
      <c r="A247" s="8">
        <f>IF(AND(ISBLANK(B247),ISBLANK(C247),ISBLANK(D247),ISBLANK(E247),ISBLANK(G247),ISBLANK(H247),ISBLANK(J247)),"",ROW()-6)</f>
        <v/>
      </c>
      <c r="B247" s="9" t="inlineStr">
        <is>
          <t>Optical Transceiver</t>
        </is>
      </c>
      <c r="C247" s="8" t="inlineStr">
        <is>
          <t>pcs</t>
        </is>
      </c>
      <c r="D247" s="10" t="n">
        <v>100</v>
      </c>
      <c r="E247" s="11" t="n">
        <v>30</v>
      </c>
      <c r="F247" s="12">
        <f>IF(AND(D247&lt;&gt;"",E247&lt;&gt;""),D247*E247,"")</f>
        <v/>
      </c>
      <c r="G247" s="13" t="n"/>
      <c r="H247" s="13" t="n">
        <v>100</v>
      </c>
      <c r="I247" s="14" t="inlineStr">
        <is>
          <t>I- Construction Material</t>
        </is>
      </c>
      <c r="J247" s="9" t="inlineStr"/>
    </row>
    <row r="248">
      <c r="A248" s="8">
        <f>IF(AND(ISBLANK(B248),ISBLANK(C248),ISBLANK(D248),ISBLANK(E248),ISBLANK(G248),ISBLANK(H248),ISBLANK(J248)),"",ROW()-6)</f>
        <v/>
      </c>
      <c r="B248" s="9" t="inlineStr">
        <is>
          <t>Optical Fiber</t>
        </is>
      </c>
      <c r="C248" s="8" t="inlineStr">
        <is>
          <t>box</t>
        </is>
      </c>
      <c r="D248" s="10" t="n">
        <v>30</v>
      </c>
      <c r="E248" s="11" t="n">
        <v>200</v>
      </c>
      <c r="F248" s="12">
        <f>IF(AND(D248&lt;&gt;"",E248&lt;&gt;""),D248*E248,"")</f>
        <v/>
      </c>
      <c r="G248" s="13" t="n"/>
      <c r="H248" s="13" t="n">
        <v>100</v>
      </c>
      <c r="I248" s="14" t="inlineStr">
        <is>
          <t>I- Construction Material</t>
        </is>
      </c>
      <c r="J248" s="9" t="inlineStr"/>
    </row>
    <row r="249">
      <c r="A249" s="8">
        <f>IF(AND(ISBLANK(B249),ISBLANK(C249),ISBLANK(D249),ISBLANK(E249),ISBLANK(G249),ISBLANK(H249),ISBLANK(J249)),"",ROW()-6)</f>
        <v/>
      </c>
      <c r="B249" s="9" t="inlineStr">
        <is>
          <t>Crystal Head</t>
        </is>
      </c>
      <c r="C249" s="8" t="inlineStr">
        <is>
          <t>pcs</t>
        </is>
      </c>
      <c r="D249" s="10" t="n">
        <v>1000</v>
      </c>
      <c r="E249" s="11" t="n">
        <v>0.3</v>
      </c>
      <c r="F249" s="12">
        <f>IF(AND(D249&lt;&gt;"",E249&lt;&gt;""),D249*E249,"")</f>
        <v/>
      </c>
      <c r="G249" s="13" t="n"/>
      <c r="H249" s="13" t="n">
        <v>100</v>
      </c>
      <c r="I249" s="14" t="inlineStr">
        <is>
          <t>I- Construction Material</t>
        </is>
      </c>
      <c r="J249" s="9" t="inlineStr"/>
    </row>
    <row r="250">
      <c r="A250" s="8">
        <f>IF(AND(ISBLANK(B250),ISBLANK(C250),ISBLANK(D250),ISBLANK(E250),ISBLANK(G250),ISBLANK(H250),ISBLANK(J250)),"",ROW()-6)</f>
        <v/>
      </c>
      <c r="B250" s="9" t="inlineStr">
        <is>
          <t>Distribution Box</t>
        </is>
      </c>
      <c r="C250" s="8" t="inlineStr">
        <is>
          <t>pcs</t>
        </is>
      </c>
      <c r="D250" s="10" t="n">
        <v>100</v>
      </c>
      <c r="E250" s="11" t="n">
        <v>50</v>
      </c>
      <c r="F250" s="12">
        <f>IF(AND(D250&lt;&gt;"",E250&lt;&gt;""),D250*E250,"")</f>
        <v/>
      </c>
      <c r="G250" s="13" t="n"/>
      <c r="H250" s="13" t="n">
        <v>100</v>
      </c>
      <c r="I250" s="14" t="inlineStr">
        <is>
          <t>I- Construction Material</t>
        </is>
      </c>
      <c r="J250" s="9" t="inlineStr"/>
    </row>
    <row r="251">
      <c r="A251" s="8">
        <f>IF(AND(ISBLANK(B251),ISBLANK(C251),ISBLANK(D251),ISBLANK(E251),ISBLANK(G251),ISBLANK(H251),ISBLANK(J251)),"",ROW()-6)</f>
        <v/>
      </c>
      <c r="B251" s="9" t="inlineStr">
        <is>
          <t>Pressure Gauge</t>
        </is>
      </c>
      <c r="C251" s="8" t="inlineStr">
        <is>
          <t>pcs</t>
        </is>
      </c>
      <c r="D251" s="10" t="n">
        <v>50</v>
      </c>
      <c r="E251" s="11" t="n">
        <v>30</v>
      </c>
      <c r="F251" s="12">
        <f>IF(AND(D251&lt;&gt;"",E251&lt;&gt;""),D251*E251,"")</f>
        <v/>
      </c>
      <c r="G251" s="13" t="n"/>
      <c r="H251" s="13" t="n">
        <v>100</v>
      </c>
      <c r="I251" s="14" t="inlineStr">
        <is>
          <t>I- Construction Material</t>
        </is>
      </c>
      <c r="J251" s="9" t="inlineStr"/>
    </row>
    <row r="252">
      <c r="A252" s="8">
        <f>IF(AND(ISBLANK(B252),ISBLANK(C252),ISBLANK(D252),ISBLANK(E252),ISBLANK(G252),ISBLANK(H252),ISBLANK(J252)),"",ROW()-6)</f>
        <v/>
      </c>
      <c r="B252" s="9" t="inlineStr">
        <is>
          <t>Cable</t>
        </is>
      </c>
      <c r="C252" s="8" t="inlineStr">
        <is>
          <t>m</t>
        </is>
      </c>
      <c r="D252" s="10" t="n">
        <v>2700</v>
      </c>
      <c r="E252" s="11" t="n">
        <v>75</v>
      </c>
      <c r="F252" s="12">
        <f>IF(AND(D252&lt;&gt;"",E252&lt;&gt;""),D252*E252,"")</f>
        <v/>
      </c>
      <c r="G252" s="13" t="n"/>
      <c r="H252" s="13" t="n">
        <v>100</v>
      </c>
      <c r="I252" s="14" t="inlineStr">
        <is>
          <t>I- Construction Material</t>
        </is>
      </c>
      <c r="J252" s="9" t="inlineStr"/>
    </row>
    <row r="253">
      <c r="A253" s="8">
        <f>IF(AND(ISBLANK(B253),ISBLANK(C253),ISBLANK(D253),ISBLANK(E253),ISBLANK(G253),ISBLANK(H253),ISBLANK(J253)),"",ROW()-6)</f>
        <v/>
      </c>
      <c r="B253" s="9" t="inlineStr">
        <is>
          <t>LED Light Strip</t>
        </is>
      </c>
      <c r="C253" s="8" t="inlineStr">
        <is>
          <t>m</t>
        </is>
      </c>
      <c r="D253" s="10" t="n">
        <v>5000</v>
      </c>
      <c r="E253" s="11" t="n">
        <v>15</v>
      </c>
      <c r="F253" s="12">
        <f>IF(AND(D253&lt;&gt;"",E253&lt;&gt;""),D253*E253,"")</f>
        <v/>
      </c>
      <c r="G253" s="13" t="n"/>
      <c r="H253" s="13" t="n">
        <v>100</v>
      </c>
      <c r="I253" s="14" t="inlineStr">
        <is>
          <t>I- Construction Material</t>
        </is>
      </c>
      <c r="J253" s="9" t="inlineStr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2025-12-02T07:47:02Z</dcterms:created>
  <dcterms:modified xsi:type="dcterms:W3CDTF">2025-12-02T07:47:03Z</dcterms:modified>
</cp:coreProperties>
</file>