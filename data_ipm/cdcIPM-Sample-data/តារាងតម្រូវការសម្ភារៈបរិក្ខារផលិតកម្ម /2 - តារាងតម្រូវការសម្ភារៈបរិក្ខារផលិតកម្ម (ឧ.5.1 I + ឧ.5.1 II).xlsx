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QIP25103205</t>
        </is>
      </c>
      <c r="J1" s="2" t="inlineStr">
        <is>
          <t>Downloaded datetime: 02/12/2025 02:43:47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Blow Molding Machine - Oil Pressure (SMALL)</t>
        </is>
      </c>
      <c r="C7" s="8" t="inlineStr">
        <is>
          <t>set</t>
        </is>
      </c>
      <c r="D7" s="10" t="n">
        <v>7</v>
      </c>
      <c r="E7" s="11" t="n">
        <v>30000</v>
      </c>
      <c r="F7" s="12">
        <f>IF(AND(D7&lt;&gt;"",E7&lt;&gt;""),D7*E7,"")</f>
        <v/>
      </c>
      <c r="G7" s="13" t="n"/>
      <c r="H7" s="13" t="n">
        <v>100</v>
      </c>
      <c r="I7" s="14" t="inlineStr">
        <is>
          <t>II- Machinery and Equipment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Blow Molding Machine - Oil Pressure (MEDIUM)</t>
        </is>
      </c>
      <c r="C8" s="8" t="inlineStr">
        <is>
          <t>set</t>
        </is>
      </c>
      <c r="D8" s="10" t="n">
        <v>7</v>
      </c>
      <c r="E8" s="11" t="n">
        <v>31000</v>
      </c>
      <c r="F8" s="12">
        <f>IF(AND(D8&lt;&gt;"",E8&lt;&gt;""),D8*E8,"")</f>
        <v/>
      </c>
      <c r="G8" s="13" t="n"/>
      <c r="H8" s="13" t="n">
        <v>100</v>
      </c>
      <c r="I8" s="14" t="inlineStr">
        <is>
          <t>II- Machinery and Equipment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Blow Molding Machine - Oil Pressure (LARGE)</t>
        </is>
      </c>
      <c r="C9" s="8" t="inlineStr">
        <is>
          <t>set</t>
        </is>
      </c>
      <c r="D9" s="10" t="n">
        <v>5</v>
      </c>
      <c r="E9" s="11" t="n">
        <v>33000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Blow Molding Machine - Oil Pressure (XL)</t>
        </is>
      </c>
      <c r="C10" s="8" t="inlineStr">
        <is>
          <t>set</t>
        </is>
      </c>
      <c r="D10" s="10" t="n">
        <v>4</v>
      </c>
      <c r="E10" s="11" t="n">
        <v>35000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Blow Molding Machine - Large Air-Operated</t>
        </is>
      </c>
      <c r="C11" s="8" t="inlineStr">
        <is>
          <t>set</t>
        </is>
      </c>
      <c r="D11" s="10" t="n">
        <v>3</v>
      </c>
      <c r="E11" s="11" t="n">
        <v>40000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Automatic Loading PS Machine</t>
        </is>
      </c>
      <c r="C12" s="8" t="inlineStr">
        <is>
          <t>set</t>
        </is>
      </c>
      <c r="D12" s="10" t="n">
        <v>17</v>
      </c>
      <c r="E12" s="11" t="n">
        <v>747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Vacuum Electroplating Machine</t>
        </is>
      </c>
      <c r="C13" s="8" t="inlineStr">
        <is>
          <t>set</t>
        </is>
      </c>
      <c r="D13" s="10" t="n">
        <v>5</v>
      </c>
      <c r="E13" s="11" t="n">
        <v>52239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Drying Machine (75HP)</t>
        </is>
      </c>
      <c r="C14" s="8" t="inlineStr">
        <is>
          <t>set</t>
        </is>
      </c>
      <c r="D14" s="10" t="n">
        <v>9</v>
      </c>
      <c r="E14" s="11" t="n">
        <v>1791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Drying Machine (10HP)</t>
        </is>
      </c>
      <c r="C15" s="8" t="inlineStr">
        <is>
          <t>set</t>
        </is>
      </c>
      <c r="D15" s="10" t="n">
        <v>9</v>
      </c>
      <c r="E15" s="11" t="n">
        <v>224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Automatic Ball Inserting Machine</t>
        </is>
      </c>
      <c r="C16" s="8" t="inlineStr">
        <is>
          <t>set</t>
        </is>
      </c>
      <c r="D16" s="10" t="n">
        <v>20</v>
      </c>
      <c r="E16" s="11" t="n">
        <v>224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Automatic Ball Takeing Off Machine</t>
        </is>
      </c>
      <c r="C17" s="8" t="inlineStr">
        <is>
          <t>set</t>
        </is>
      </c>
      <c r="D17" s="10" t="n">
        <v>10</v>
      </c>
      <c r="E17" s="11" t="n">
        <v>75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Screen Painting Machine</t>
        </is>
      </c>
      <c r="C18" s="8" t="inlineStr">
        <is>
          <t>set</t>
        </is>
      </c>
      <c r="D18" s="10" t="n">
        <v>10</v>
      </c>
      <c r="E18" s="11" t="n">
        <v>2508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Auto Painting Machine</t>
        </is>
      </c>
      <c r="C19" s="8" t="inlineStr">
        <is>
          <t>set</t>
        </is>
      </c>
      <c r="D19" s="10" t="n">
        <v>10</v>
      </c>
      <c r="E19" s="11" t="n">
        <v>1567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Single Painting Machine</t>
        </is>
      </c>
      <c r="C20" s="8" t="inlineStr">
        <is>
          <t>set</t>
        </is>
      </c>
      <c r="D20" s="10" t="n">
        <v>5</v>
      </c>
      <c r="E20" s="11" t="n">
        <v>4477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Double Painting Machine</t>
        </is>
      </c>
      <c r="C21" s="8" t="inlineStr">
        <is>
          <t>set</t>
        </is>
      </c>
      <c r="D21" s="10" t="n">
        <v>5</v>
      </c>
      <c r="E21" s="11" t="n">
        <v>5224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Cutting Machine</t>
        </is>
      </c>
      <c r="C22" s="8" t="inlineStr">
        <is>
          <t>set</t>
        </is>
      </c>
      <c r="D22" s="10" t="n">
        <v>10</v>
      </c>
      <c r="E22" s="11" t="n">
        <v>135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Rolling Oil Line Machine</t>
        </is>
      </c>
      <c r="C23" s="8" t="inlineStr">
        <is>
          <t>set</t>
        </is>
      </c>
      <c r="D23" s="10" t="n">
        <v>5</v>
      </c>
      <c r="E23" s="11" t="n">
        <v>16000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Electrostatic Reciprocating Spraying Machine</t>
        </is>
      </c>
      <c r="C24" s="8" t="inlineStr">
        <is>
          <t>set</t>
        </is>
      </c>
      <c r="D24" s="10" t="n">
        <v>5</v>
      </c>
      <c r="E24" s="11" t="n">
        <v>15652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Bio-Pellet Heating Machine</t>
        </is>
      </c>
      <c r="C25" s="8" t="inlineStr">
        <is>
          <t>set</t>
        </is>
      </c>
      <c r="D25" s="10" t="n">
        <v>4</v>
      </c>
      <c r="E25" s="11" t="n">
        <v>20108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Topcoat Preheating Channel Machine</t>
        </is>
      </c>
      <c r="C26" s="8" t="inlineStr">
        <is>
          <t>set</t>
        </is>
      </c>
      <c r="D26" s="10" t="n">
        <v>2</v>
      </c>
      <c r="E26" s="11" t="n">
        <v>1377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Production Line Electric Control Cabinet</t>
        </is>
      </c>
      <c r="C27" s="8" t="inlineStr">
        <is>
          <t>set</t>
        </is>
      </c>
      <c r="D27" s="10" t="n">
        <v>5</v>
      </c>
      <c r="E27" s="11" t="n">
        <v>4415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Rolling Primer and Coating Powder Machine</t>
        </is>
      </c>
      <c r="C28" s="8" t="inlineStr">
        <is>
          <t>set</t>
        </is>
      </c>
      <c r="D28" s="10" t="n">
        <v>2</v>
      </c>
      <c r="E28" s="11" t="n">
        <v>7942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Surface Glue Spraying Cabinet</t>
        </is>
      </c>
      <c r="C29" s="8" t="inlineStr">
        <is>
          <t>set</t>
        </is>
      </c>
      <c r="D29" s="10" t="n">
        <v>2</v>
      </c>
      <c r="E29" s="11" t="n">
        <v>5565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Environmental Air Conditioner Mainframe</t>
        </is>
      </c>
      <c r="C30" s="8" t="inlineStr">
        <is>
          <t>set</t>
        </is>
      </c>
      <c r="D30" s="10" t="n">
        <v>2</v>
      </c>
      <c r="E30" s="11" t="n">
        <v>2152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Moulds for Injection Machine</t>
        </is>
      </c>
      <c r="C31" s="8" t="inlineStr">
        <is>
          <t>set</t>
        </is>
      </c>
      <c r="D31" s="10" t="n">
        <v>12</v>
      </c>
      <c r="E31" s="11" t="n">
        <v>13000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Punching Machine</t>
        </is>
      </c>
      <c r="C32" s="8" t="inlineStr">
        <is>
          <t>set</t>
        </is>
      </c>
      <c r="D32" s="10" t="n">
        <v>2</v>
      </c>
      <c r="E32" s="11" t="n">
        <v>1000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Plastic Suction Machine</t>
        </is>
      </c>
      <c r="C33" s="8" t="inlineStr">
        <is>
          <t>set</t>
        </is>
      </c>
      <c r="D33" s="10" t="n">
        <v>5</v>
      </c>
      <c r="E33" s="11" t="n">
        <v>30000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Reeling Machine</t>
        </is>
      </c>
      <c r="C34" s="8" t="inlineStr">
        <is>
          <t>set</t>
        </is>
      </c>
      <c r="D34" s="10" t="n">
        <v>5</v>
      </c>
      <c r="E34" s="11" t="n">
        <v>1530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Flocking Machine</t>
        </is>
      </c>
      <c r="C35" s="8" t="inlineStr">
        <is>
          <t>set</t>
        </is>
      </c>
      <c r="D35" s="10" t="n">
        <v>10</v>
      </c>
      <c r="E35" s="11" t="n">
        <v>1400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Glue Applying Machine</t>
        </is>
      </c>
      <c r="C36" s="8" t="inlineStr">
        <is>
          <t>set</t>
        </is>
      </c>
      <c r="D36" s="10" t="n">
        <v>2</v>
      </c>
      <c r="E36" s="11" t="n">
        <v>150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Packaging Machine</t>
        </is>
      </c>
      <c r="C37" s="8" t="inlineStr">
        <is>
          <t>set</t>
        </is>
      </c>
      <c r="D37" s="10" t="n">
        <v>10</v>
      </c>
      <c r="E37" s="11" t="n">
        <v>600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Pad Printing Machine</t>
        </is>
      </c>
      <c r="C38" s="8" t="inlineStr">
        <is>
          <t>set</t>
        </is>
      </c>
      <c r="D38" s="10" t="n">
        <v>5</v>
      </c>
      <c r="E38" s="11" t="n">
        <v>1800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Paper Folding Machine</t>
        </is>
      </c>
      <c r="C39" s="8" t="inlineStr">
        <is>
          <t>set</t>
        </is>
      </c>
      <c r="D39" s="10" t="n">
        <v>3</v>
      </c>
      <c r="E39" s="11" t="n">
        <v>800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Blast Powder Blower Machine</t>
        </is>
      </c>
      <c r="C40" s="8" t="inlineStr">
        <is>
          <t>set</t>
        </is>
      </c>
      <c r="D40" s="10" t="n">
        <v>30</v>
      </c>
      <c r="E40" s="11" t="n">
        <v>200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Box Machine (Pet Box)</t>
        </is>
      </c>
      <c r="C41" s="8" t="inlineStr">
        <is>
          <t>set</t>
        </is>
      </c>
      <c r="D41" s="10" t="n">
        <v>5</v>
      </c>
      <c r="E41" s="11" t="n">
        <v>10000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Blister Machine's Mold</t>
        </is>
      </c>
      <c r="C42" s="8" t="inlineStr">
        <is>
          <t>set</t>
        </is>
      </c>
      <c r="D42" s="10" t="n">
        <v>20</v>
      </c>
      <c r="E42" s="11" t="n">
        <v>2000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Screen for Screen Print Machine</t>
        </is>
      </c>
      <c r="C43" s="8" t="inlineStr">
        <is>
          <t>set</t>
        </is>
      </c>
      <c r="D43" s="10" t="n">
        <v>15</v>
      </c>
      <c r="E43" s="11" t="n">
        <v>5000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Stell Plate for Pad Print Machine</t>
        </is>
      </c>
      <c r="C44" s="8" t="inlineStr">
        <is>
          <t>set</t>
        </is>
      </c>
      <c r="D44" s="10" t="n">
        <v>30</v>
      </c>
      <c r="E44" s="11" t="n">
        <v>1000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Rubber Head for Pad Print Machine</t>
        </is>
      </c>
      <c r="C45" s="8" t="inlineStr">
        <is>
          <t>set</t>
        </is>
      </c>
      <c r="D45" s="10" t="n">
        <v>25</v>
      </c>
      <c r="E45" s="11" t="n">
        <v>1000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Carton Sealing Machine</t>
        </is>
      </c>
      <c r="C46" s="8" t="inlineStr">
        <is>
          <t>set</t>
        </is>
      </c>
      <c r="D46" s="10" t="n">
        <v>20</v>
      </c>
      <c r="E46" s="11" t="n">
        <v>1500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Die-Cut Machine</t>
        </is>
      </c>
      <c r="C47" s="8" t="inlineStr">
        <is>
          <t>set</t>
        </is>
      </c>
      <c r="D47" s="10" t="n">
        <v>20</v>
      </c>
      <c r="E47" s="11" t="n">
        <v>2000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Counting Machine</t>
        </is>
      </c>
      <c r="C48" s="8" t="inlineStr">
        <is>
          <t>set</t>
        </is>
      </c>
      <c r="D48" s="10" t="n">
        <v>20</v>
      </c>
      <c r="E48" s="11" t="n">
        <v>100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Injection Molding Machine</t>
        </is>
      </c>
      <c r="C49" s="8" t="inlineStr">
        <is>
          <t>set</t>
        </is>
      </c>
      <c r="D49" s="10" t="n">
        <v>10</v>
      </c>
      <c r="E49" s="11" t="n">
        <v>20000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Label Applying Machine</t>
        </is>
      </c>
      <c r="C50" s="8" t="inlineStr">
        <is>
          <t>set</t>
        </is>
      </c>
      <c r="D50" s="10" t="n">
        <v>2</v>
      </c>
      <c r="E50" s="11" t="n">
        <v>2000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Laser Engraving Machine</t>
        </is>
      </c>
      <c r="C51" s="8" t="inlineStr">
        <is>
          <t>set</t>
        </is>
      </c>
      <c r="D51" s="10" t="n">
        <v>20</v>
      </c>
      <c r="E51" s="11" t="n">
        <v>6150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Electric Generator-1320KW</t>
        </is>
      </c>
      <c r="C52" s="8" t="inlineStr">
        <is>
          <t>set</t>
        </is>
      </c>
      <c r="D52" s="10" t="n">
        <v>1</v>
      </c>
      <c r="E52" s="11" t="n">
        <v>85000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Generator Transformer Cabinet</t>
        </is>
      </c>
      <c r="C53" s="8" t="inlineStr">
        <is>
          <t>set</t>
        </is>
      </c>
      <c r="D53" s="10" t="n">
        <v>1</v>
      </c>
      <c r="E53" s="11" t="n">
        <v>50000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High-Tension Transformer-1500KW</t>
        </is>
      </c>
      <c r="C54" s="8" t="inlineStr">
        <is>
          <t>set</t>
        </is>
      </c>
      <c r="D54" s="10" t="n">
        <v>1</v>
      </c>
      <c r="E54" s="11" t="n">
        <v>50000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High-Tension Transformer Cabinet</t>
        </is>
      </c>
      <c r="C55" s="8" t="inlineStr">
        <is>
          <t>set</t>
        </is>
      </c>
      <c r="D55" s="10" t="n">
        <v>1</v>
      </c>
      <c r="E55" s="11" t="n">
        <v>40000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Explosion-Proof Lamp</t>
        </is>
      </c>
      <c r="C56" s="8" t="inlineStr">
        <is>
          <t>pcs</t>
        </is>
      </c>
      <c r="D56" s="10" t="n">
        <v>1000</v>
      </c>
      <c r="E56" s="11" t="n">
        <v>6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Plastic Crusher - 50HP</t>
        </is>
      </c>
      <c r="C57" s="8" t="inlineStr">
        <is>
          <t>set</t>
        </is>
      </c>
      <c r="D57" s="10" t="n">
        <v>2</v>
      </c>
      <c r="E57" s="11" t="n">
        <v>11941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Plastic Crusher - 30HP</t>
        </is>
      </c>
      <c r="C58" s="8" t="inlineStr">
        <is>
          <t>set</t>
        </is>
      </c>
      <c r="D58" s="10" t="n">
        <v>2</v>
      </c>
      <c r="E58" s="11" t="n">
        <v>8955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PS Drying Machine - 1 Tonne</t>
        </is>
      </c>
      <c r="C59" s="8" t="inlineStr">
        <is>
          <t>set</t>
        </is>
      </c>
      <c r="D59" s="10" t="n">
        <v>2</v>
      </c>
      <c r="E59" s="11" t="n">
        <v>1941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Cooling Tower - 100 Tonne</t>
        </is>
      </c>
      <c r="C60" s="8" t="inlineStr">
        <is>
          <t>set</t>
        </is>
      </c>
      <c r="D60" s="10" t="n">
        <v>2</v>
      </c>
      <c r="E60" s="11" t="n">
        <v>2239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Laser Welding Machine</t>
        </is>
      </c>
      <c r="C61" s="8" t="inlineStr">
        <is>
          <t>set</t>
        </is>
      </c>
      <c r="D61" s="10" t="n">
        <v>300</v>
      </c>
      <c r="E61" s="11" t="n">
        <v>2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Blender Mixer</t>
        </is>
      </c>
      <c r="C62" s="8" t="inlineStr">
        <is>
          <t>set</t>
        </is>
      </c>
      <c r="D62" s="10" t="n">
        <v>5</v>
      </c>
      <c r="E62" s="11" t="n">
        <v>2985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Air Compressor(100HP)</t>
        </is>
      </c>
      <c r="C63" s="8" t="inlineStr">
        <is>
          <t>set</t>
        </is>
      </c>
      <c r="D63" s="10" t="n">
        <v>5</v>
      </c>
      <c r="E63" s="11" t="n">
        <v>13433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Air Storage Tank- 2m³</t>
        </is>
      </c>
      <c r="C64" s="8" t="inlineStr">
        <is>
          <t>set</t>
        </is>
      </c>
      <c r="D64" s="10" t="n">
        <v>2</v>
      </c>
      <c r="E64" s="11" t="n">
        <v>1015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Electric Oven (2.6*2*2.2M)</t>
        </is>
      </c>
      <c r="C65" s="8" t="inlineStr">
        <is>
          <t>pcs</t>
        </is>
      </c>
      <c r="D65" s="10" t="n">
        <v>3</v>
      </c>
      <c r="E65" s="11" t="n">
        <v>821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Iron Cart</t>
        </is>
      </c>
      <c r="C66" s="8" t="inlineStr">
        <is>
          <t>set</t>
        </is>
      </c>
      <c r="D66" s="10" t="n">
        <v>200</v>
      </c>
      <c r="E66" s="11" t="n">
        <v>135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Rack</t>
        </is>
      </c>
      <c r="C67" s="8" t="inlineStr">
        <is>
          <t>set</t>
        </is>
      </c>
      <c r="D67" s="10" t="n">
        <v>45000</v>
      </c>
      <c r="E67" s="11" t="n">
        <v>4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Metal Dome</t>
        </is>
      </c>
      <c r="C68" s="8" t="inlineStr">
        <is>
          <t>set</t>
        </is>
      </c>
      <c r="D68" s="10" t="n">
        <v>1200000</v>
      </c>
      <c r="E68" s="11" t="n">
        <v>0.03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Generator (500KVA)</t>
        </is>
      </c>
      <c r="C69" s="8" t="inlineStr">
        <is>
          <t>set</t>
        </is>
      </c>
      <c r="D69" s="10" t="n">
        <v>2</v>
      </c>
      <c r="E69" s="11" t="n">
        <v>50000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Diesel Motor Forklift</t>
        </is>
      </c>
      <c r="C70" s="8" t="inlineStr">
        <is>
          <t>pcs</t>
        </is>
      </c>
      <c r="D70" s="10" t="n">
        <v>1</v>
      </c>
      <c r="E70" s="11" t="n">
        <v>9105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Manual Forklift</t>
        </is>
      </c>
      <c r="C71" s="8" t="inlineStr">
        <is>
          <t>set</t>
        </is>
      </c>
      <c r="D71" s="10" t="n">
        <v>10</v>
      </c>
      <c r="E71" s="11" t="n">
        <v>224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Air Dryer</t>
        </is>
      </c>
      <c r="C72" s="8" t="inlineStr">
        <is>
          <t>set</t>
        </is>
      </c>
      <c r="D72" s="10" t="n">
        <v>1</v>
      </c>
      <c r="E72" s="11" t="n">
        <v>2388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Electronic Scale</t>
        </is>
      </c>
      <c r="C73" s="8" t="inlineStr">
        <is>
          <t>set</t>
        </is>
      </c>
      <c r="D73" s="10" t="n">
        <v>10</v>
      </c>
      <c r="E73" s="11" t="n">
        <v>53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Iron Stool</t>
        </is>
      </c>
      <c r="C74" s="8" t="inlineStr">
        <is>
          <t>pcs</t>
        </is>
      </c>
      <c r="D74" s="10" t="n">
        <v>200</v>
      </c>
      <c r="E74" s="11" t="n">
        <v>5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Assemble Line</t>
        </is>
      </c>
      <c r="C75" s="8" t="inlineStr">
        <is>
          <t>pcs</t>
        </is>
      </c>
      <c r="D75" s="10" t="n">
        <v>20</v>
      </c>
      <c r="E75" s="11" t="n">
        <v>1792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Electronically Controlled Spark Generator</t>
        </is>
      </c>
      <c r="C76" s="8" t="inlineStr">
        <is>
          <t>pcs</t>
        </is>
      </c>
      <c r="D76" s="10" t="n">
        <v>5</v>
      </c>
      <c r="E76" s="11" t="n">
        <v>1045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Alertor (for Water/Air Shortage)</t>
        </is>
      </c>
      <c r="C77" s="8" t="inlineStr">
        <is>
          <t>pcs</t>
        </is>
      </c>
      <c r="D77" s="10" t="n">
        <v>5</v>
      </c>
      <c r="E77" s="11" t="n">
        <v>179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Dust Collector</t>
        </is>
      </c>
      <c r="C78" s="8" t="inlineStr">
        <is>
          <t>pcs</t>
        </is>
      </c>
      <c r="D78" s="10" t="n">
        <v>2</v>
      </c>
      <c r="E78" s="11" t="n">
        <v>150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Blow Mould</t>
        </is>
      </c>
      <c r="C79" s="8" t="inlineStr">
        <is>
          <t>pcs</t>
        </is>
      </c>
      <c r="D79" s="10" t="n">
        <v>900</v>
      </c>
      <c r="E79" s="11" t="n">
        <v>500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Ceiling Fan</t>
        </is>
      </c>
      <c r="C80" s="8" t="inlineStr">
        <is>
          <t>set</t>
        </is>
      </c>
      <c r="D80" s="10" t="n">
        <v>100</v>
      </c>
      <c r="E80" s="11" t="n">
        <v>20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Street Lamp</t>
        </is>
      </c>
      <c r="C81" s="8" t="inlineStr">
        <is>
          <t>set</t>
        </is>
      </c>
      <c r="D81" s="10" t="n">
        <v>50</v>
      </c>
      <c r="E81" s="11" t="n">
        <v>45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Grinder</t>
        </is>
      </c>
      <c r="C82" s="8" t="inlineStr">
        <is>
          <t>pcs</t>
        </is>
      </c>
      <c r="D82" s="10" t="n">
        <v>2</v>
      </c>
      <c r="E82" s="11" t="n">
        <v>45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Electric Impact Drill</t>
        </is>
      </c>
      <c r="C83" s="8" t="inlineStr">
        <is>
          <t>pcs</t>
        </is>
      </c>
      <c r="D83" s="10" t="n">
        <v>2</v>
      </c>
      <c r="E83" s="11" t="n">
        <v>135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Test Pencil</t>
        </is>
      </c>
      <c r="C84" s="8" t="inlineStr">
        <is>
          <t>pcs</t>
        </is>
      </c>
      <c r="D84" s="10" t="n">
        <v>2</v>
      </c>
      <c r="E84" s="11" t="n">
        <v>4.5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Digital Multimeter Test Apparatus</t>
        </is>
      </c>
      <c r="C85" s="8" t="inlineStr">
        <is>
          <t>pcs</t>
        </is>
      </c>
      <c r="D85" s="10" t="n">
        <v>2</v>
      </c>
      <c r="E85" s="11" t="n">
        <v>27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Hacksaw</t>
        </is>
      </c>
      <c r="C86" s="8" t="inlineStr">
        <is>
          <t>pcs</t>
        </is>
      </c>
      <c r="D86" s="10" t="n">
        <v>2</v>
      </c>
      <c r="E86" s="11" t="n">
        <v>13.5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Water Cabinet</t>
        </is>
      </c>
      <c r="C87" s="8" t="inlineStr">
        <is>
          <t>pcs</t>
        </is>
      </c>
      <c r="D87" s="10" t="n">
        <v>3</v>
      </c>
      <c r="E87" s="11" t="n">
        <v>3710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Activated Carbon Tank</t>
        </is>
      </c>
      <c r="C88" s="8" t="inlineStr">
        <is>
          <t>pcs</t>
        </is>
      </c>
      <c r="D88" s="10" t="n">
        <v>5</v>
      </c>
      <c r="E88" s="11" t="n">
        <v>3300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Induced Fan -45 Kw</t>
        </is>
      </c>
      <c r="C89" s="8" t="inlineStr">
        <is>
          <t>pcs</t>
        </is>
      </c>
      <c r="D89" s="10" t="n">
        <v>2</v>
      </c>
      <c r="E89" s="11" t="n">
        <v>2543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Induced Fan -15 Kw</t>
        </is>
      </c>
      <c r="C90" s="8" t="inlineStr">
        <is>
          <t>pcs</t>
        </is>
      </c>
      <c r="D90" s="10" t="n">
        <v>2</v>
      </c>
      <c r="E90" s="11" t="n">
        <v>1591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Induced Fan -11 Kw</t>
        </is>
      </c>
      <c r="C91" s="8" t="inlineStr">
        <is>
          <t>pcs</t>
        </is>
      </c>
      <c r="D91" s="10" t="n">
        <v>2</v>
      </c>
      <c r="E91" s="11" t="n">
        <v>1461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Induced Fan -7.5 Kw</t>
        </is>
      </c>
      <c r="C92" s="8" t="inlineStr">
        <is>
          <t>pcs</t>
        </is>
      </c>
      <c r="D92" s="10" t="n">
        <v>1</v>
      </c>
      <c r="E92" s="11" t="n">
        <v>1108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Air Flotation Equipment</t>
        </is>
      </c>
      <c r="C93" s="8" t="inlineStr">
        <is>
          <t>set</t>
        </is>
      </c>
      <c r="D93" s="10" t="n">
        <v>1</v>
      </c>
      <c r="E93" s="11" t="n">
        <v>11956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Air Floatation Equipment Operation Platform</t>
        </is>
      </c>
      <c r="C94" s="8" t="inlineStr">
        <is>
          <t>set</t>
        </is>
      </c>
      <c r="D94" s="10" t="n">
        <v>1</v>
      </c>
      <c r="E94" s="11" t="n">
        <v>1507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Advanced Oxidation and Precipitation Integration Equipment</t>
        </is>
      </c>
      <c r="C95" s="8" t="inlineStr">
        <is>
          <t>set</t>
        </is>
      </c>
      <c r="D95" s="10" t="n">
        <v>1</v>
      </c>
      <c r="E95" s="11" t="n">
        <v>19275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Chemical Reagent Dispenser, Φ800*H1200</t>
        </is>
      </c>
      <c r="C96" s="8" t="inlineStr">
        <is>
          <t>pcs</t>
        </is>
      </c>
      <c r="D96" s="10" t="n">
        <v>5</v>
      </c>
      <c r="E96" s="11" t="n">
        <v>217.4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Dosing Pump (350*300*350mm)</t>
        </is>
      </c>
      <c r="C97" s="8" t="inlineStr">
        <is>
          <t>pcs</t>
        </is>
      </c>
      <c r="D97" s="10" t="n">
        <v>7</v>
      </c>
      <c r="E97" s="11" t="n">
        <v>362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Filter Tank, Φ560*H1900 (FRP)</t>
        </is>
      </c>
      <c r="C98" s="8" t="inlineStr">
        <is>
          <t>set</t>
        </is>
      </c>
      <c r="D98" s="10" t="n">
        <v>1</v>
      </c>
      <c r="E98" s="11" t="n">
        <v>550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Carbon Filter Tank, Φ560*H1900 (FRP)</t>
        </is>
      </c>
      <c r="C99" s="8" t="inlineStr">
        <is>
          <t>set</t>
        </is>
      </c>
      <c r="D99" s="10" t="n">
        <v>1</v>
      </c>
      <c r="E99" s="11" t="n">
        <v>550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Rotary Blower (Silent)</t>
        </is>
      </c>
      <c r="C100" s="8" t="inlineStr">
        <is>
          <t>set</t>
        </is>
      </c>
      <c r="D100" s="10" t="n">
        <v>1</v>
      </c>
      <c r="E100" s="11" t="n">
        <v>1087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Full-Automatic Control Box</t>
        </is>
      </c>
      <c r="C101" s="8" t="inlineStr">
        <is>
          <t>set</t>
        </is>
      </c>
      <c r="D101" s="10" t="n">
        <v>1</v>
      </c>
      <c r="E101" s="11" t="n">
        <v>3304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Instrument Accessories</t>
        </is>
      </c>
      <c r="C102" s="8" t="inlineStr">
        <is>
          <t>set</t>
        </is>
      </c>
      <c r="D102" s="10" t="n">
        <v>1</v>
      </c>
      <c r="E102" s="11" t="n">
        <v>1232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Automatic Hydraulic Plate and Frame Filter Press,</t>
        </is>
      </c>
      <c r="C103" s="8" t="inlineStr">
        <is>
          <t>set</t>
        </is>
      </c>
      <c r="D103" s="10" t="n">
        <v>1</v>
      </c>
      <c r="E103" s="11" t="n">
        <v>551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Pneumatic Sludge Diaphragm Pump</t>
        </is>
      </c>
      <c r="C104" s="8" t="inlineStr">
        <is>
          <t>set</t>
        </is>
      </c>
      <c r="D104" s="10" t="n">
        <v>2</v>
      </c>
      <c r="E104" s="11" t="n">
        <v>551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Explosion-Proof Light</t>
        </is>
      </c>
      <c r="C105" s="8" t="inlineStr">
        <is>
          <t>pcs</t>
        </is>
      </c>
      <c r="D105" s="10" t="n">
        <v>500</v>
      </c>
      <c r="E105" s="11" t="n">
        <v>4.5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Lights</t>
        </is>
      </c>
      <c r="C106" s="8" t="inlineStr">
        <is>
          <t>set</t>
        </is>
      </c>
      <c r="D106" s="10" t="n">
        <v>500</v>
      </c>
      <c r="E106" s="11" t="n">
        <v>12.6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Electric Hand Forklift</t>
        </is>
      </c>
      <c r="C107" s="8" t="inlineStr">
        <is>
          <t>set</t>
        </is>
      </c>
      <c r="D107" s="10" t="n">
        <v>5</v>
      </c>
      <c r="E107" s="11" t="n">
        <v>926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Hydraulic Elevator (for Warehouse)</t>
        </is>
      </c>
      <c r="C108" s="8" t="inlineStr">
        <is>
          <t>set</t>
        </is>
      </c>
      <c r="D108" s="10" t="n">
        <v>12</v>
      </c>
      <c r="E108" s="11" t="n">
        <v>3731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Insulated Rock Wool Board</t>
        </is>
      </c>
      <c r="C109" s="8" t="inlineStr">
        <is>
          <t>pcs</t>
        </is>
      </c>
      <c r="D109" s="10" t="n">
        <v>500</v>
      </c>
      <c r="E109" s="11" t="n">
        <v>55.8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Galvanized Plate</t>
        </is>
      </c>
      <c r="C110" s="8" t="inlineStr">
        <is>
          <t>pcs</t>
        </is>
      </c>
      <c r="D110" s="10" t="n">
        <v>500</v>
      </c>
      <c r="E110" s="11" t="n">
        <v>62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Suspension Conveyor</t>
        </is>
      </c>
      <c r="C111" s="8" t="inlineStr">
        <is>
          <t>set</t>
        </is>
      </c>
      <c r="D111" s="10" t="n">
        <v>3</v>
      </c>
      <c r="E111" s="11" t="n">
        <v>22000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Y-Shaped Rotating Disk</t>
        </is>
      </c>
      <c r="C112" s="8" t="inlineStr">
        <is>
          <t>set</t>
        </is>
      </c>
      <c r="D112" s="10" t="n">
        <v>200</v>
      </c>
      <c r="E112" s="11" t="n">
        <v>20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Electric Control of Oven</t>
        </is>
      </c>
      <c r="C113" s="8" t="inlineStr">
        <is>
          <t>set</t>
        </is>
      </c>
      <c r="D113" s="10" t="n">
        <v>3</v>
      </c>
      <c r="E113" s="11" t="n">
        <v>1800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Orbit Control</t>
        </is>
      </c>
      <c r="C114" s="8" t="inlineStr">
        <is>
          <t>set</t>
        </is>
      </c>
      <c r="D114" s="10" t="n">
        <v>3</v>
      </c>
      <c r="E114" s="11" t="n">
        <v>1500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Burner</t>
        </is>
      </c>
      <c r="C115" s="8" t="inlineStr">
        <is>
          <t>set</t>
        </is>
      </c>
      <c r="D115" s="10" t="n">
        <v>6</v>
      </c>
      <c r="E115" s="11" t="n">
        <v>11000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Workshop Exhaust Fan</t>
        </is>
      </c>
      <c r="C116" s="8" t="inlineStr">
        <is>
          <t>set</t>
        </is>
      </c>
      <c r="D116" s="10" t="n">
        <v>30</v>
      </c>
      <c r="E116" s="11" t="n">
        <v>100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Conveyor Line (20M)</t>
        </is>
      </c>
      <c r="C117" s="8" t="inlineStr">
        <is>
          <t>set</t>
        </is>
      </c>
      <c r="D117" s="10" t="n">
        <v>2</v>
      </c>
      <c r="E117" s="11" t="n">
        <v>3500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Stainless Steel Exhaust Duct</t>
        </is>
      </c>
      <c r="C118" s="8" t="inlineStr">
        <is>
          <t>pcs</t>
        </is>
      </c>
      <c r="D118" s="10" t="n">
        <v>500</v>
      </c>
      <c r="E118" s="11" t="n">
        <v>20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Auto-Ballcap Maching</t>
        </is>
      </c>
      <c r="C119" s="8" t="inlineStr">
        <is>
          <t>set</t>
        </is>
      </c>
      <c r="D119" s="10" t="n">
        <v>40</v>
      </c>
      <c r="E119" s="11" t="n">
        <v>4000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30 Pa Low Pressure Air Compressor</t>
        </is>
      </c>
      <c r="C120" s="8" t="inlineStr">
        <is>
          <t>set</t>
        </is>
      </c>
      <c r="D120" s="10" t="n">
        <v>1</v>
      </c>
      <c r="E120" s="11" t="n">
        <v>5000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Air Compressor</t>
        </is>
      </c>
      <c r="C121" s="8" t="inlineStr">
        <is>
          <t>pcs</t>
        </is>
      </c>
      <c r="D121" s="10" t="n">
        <v>5</v>
      </c>
      <c r="E121" s="11" t="n">
        <v>700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Christmas Ball Electroplating Production Line Equipment</t>
        </is>
      </c>
      <c r="C122" s="8" t="inlineStr">
        <is>
          <t>set</t>
        </is>
      </c>
      <c r="D122" s="10" t="n">
        <v>2</v>
      </c>
      <c r="E122" s="11" t="n">
        <v>361597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Cooling Machine</t>
        </is>
      </c>
      <c r="C123" s="8" t="inlineStr">
        <is>
          <t>set</t>
        </is>
      </c>
      <c r="D123" s="10" t="n">
        <v>2</v>
      </c>
      <c r="E123" s="11" t="n">
        <v>300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Decoiler</t>
        </is>
      </c>
      <c r="C124" s="8" t="inlineStr">
        <is>
          <t>set</t>
        </is>
      </c>
      <c r="D124" s="10" t="n">
        <v>1</v>
      </c>
      <c r="E124" s="11" t="n">
        <v>700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Dryer</t>
        </is>
      </c>
      <c r="C125" s="8" t="inlineStr">
        <is>
          <t>set</t>
        </is>
      </c>
      <c r="D125" s="10" t="n">
        <v>1</v>
      </c>
      <c r="E125" s="11" t="n">
        <v>125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Dyeing And Drying Line</t>
        </is>
      </c>
      <c r="C126" s="8" t="inlineStr">
        <is>
          <t>pcs</t>
        </is>
      </c>
      <c r="D126" s="10" t="n">
        <v>4</v>
      </c>
      <c r="E126" s="11" t="n">
        <v>10000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Electric Stove</t>
        </is>
      </c>
      <c r="C127" s="8" t="inlineStr">
        <is>
          <t>set</t>
        </is>
      </c>
      <c r="D127" s="10" t="n">
        <v>2</v>
      </c>
      <c r="E127" s="11" t="n">
        <v>2528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Greenhouse Gasifier</t>
        </is>
      </c>
      <c r="C128" s="8" t="inlineStr">
        <is>
          <t>pcs</t>
        </is>
      </c>
      <c r="D128" s="10" t="n">
        <v>2</v>
      </c>
      <c r="E128" s="11" t="n">
        <v>750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Heat Shrinking Machine</t>
        </is>
      </c>
      <c r="C129" s="8" t="inlineStr">
        <is>
          <t>set</t>
        </is>
      </c>
      <c r="D129" s="10" t="n">
        <v>2</v>
      </c>
      <c r="E129" s="11" t="n">
        <v>1000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High Pressure Air Compressor</t>
        </is>
      </c>
      <c r="C130" s="8" t="inlineStr">
        <is>
          <t>set</t>
        </is>
      </c>
      <c r="D130" s="10" t="n">
        <v>1</v>
      </c>
      <c r="E130" s="11" t="n">
        <v>6000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High Pressure Air Tank</t>
        </is>
      </c>
      <c r="C131" s="8" t="inlineStr">
        <is>
          <t>pcs</t>
        </is>
      </c>
      <c r="D131" s="10" t="n">
        <v>1</v>
      </c>
      <c r="E131" s="11" t="n">
        <v>900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Horizontal Injection Press</t>
        </is>
      </c>
      <c r="C132" s="8" t="inlineStr">
        <is>
          <t>set</t>
        </is>
      </c>
      <c r="D132" s="10" t="n">
        <v>1</v>
      </c>
      <c r="E132" s="11" t="n">
        <v>10000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Hot Melt Glue Gun</t>
        </is>
      </c>
      <c r="C133" s="8" t="inlineStr">
        <is>
          <t>pcs</t>
        </is>
      </c>
      <c r="D133" s="10" t="n">
        <v>50</v>
      </c>
      <c r="E133" s="11" t="n">
        <v>3.5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Liquefied Petroleum Gas Storage Tank</t>
        </is>
      </c>
      <c r="C134" s="8" t="inlineStr">
        <is>
          <t>set</t>
        </is>
      </c>
      <c r="D134" s="10" t="n">
        <v>1</v>
      </c>
      <c r="E134" s="11" t="n">
        <v>12286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Low Pressure Air Tank</t>
        </is>
      </c>
      <c r="C135" s="8" t="inlineStr">
        <is>
          <t>pcs</t>
        </is>
      </c>
      <c r="D135" s="10" t="n">
        <v>2</v>
      </c>
      <c r="E135" s="11" t="n">
        <v>900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Material Sucking Device of Deduster</t>
        </is>
      </c>
      <c r="C136" s="8" t="inlineStr">
        <is>
          <t>set</t>
        </is>
      </c>
      <c r="D136" s="10" t="n">
        <v>1</v>
      </c>
      <c r="E136" s="11" t="n">
        <v>500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Mixer For Plastic</t>
        </is>
      </c>
      <c r="C137" s="8" t="inlineStr">
        <is>
          <t>set</t>
        </is>
      </c>
      <c r="D137" s="10" t="n">
        <v>2</v>
      </c>
      <c r="E137" s="11" t="n">
        <v>500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Packaging Conveyor Line</t>
        </is>
      </c>
      <c r="C138" s="8" t="inlineStr">
        <is>
          <t>set</t>
        </is>
      </c>
      <c r="D138" s="10" t="n">
        <v>20</v>
      </c>
      <c r="E138" s="11" t="n">
        <v>1685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Plastic Crusher</t>
        </is>
      </c>
      <c r="C139" s="8" t="inlineStr">
        <is>
          <t>set</t>
        </is>
      </c>
      <c r="D139" s="10" t="n">
        <v>2</v>
      </c>
      <c r="E139" s="11" t="n">
        <v>1000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Plastic Dryer</t>
        </is>
      </c>
      <c r="C140" s="8" t="inlineStr">
        <is>
          <t>set</t>
        </is>
      </c>
      <c r="D140" s="10" t="n">
        <v>2</v>
      </c>
      <c r="E140" s="11" t="n">
        <v>500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Punch Press Machine</t>
        </is>
      </c>
      <c r="C141" s="8" t="inlineStr">
        <is>
          <t>set</t>
        </is>
      </c>
      <c r="D141" s="10" t="n">
        <v>2</v>
      </c>
      <c r="E141" s="11" t="n">
        <v>3000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Rolling Machine</t>
        </is>
      </c>
      <c r="C142" s="8" t="inlineStr">
        <is>
          <t>set</t>
        </is>
      </c>
      <c r="D142" s="10" t="n">
        <v>2</v>
      </c>
      <c r="E142" s="11" t="n">
        <v>180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Transformer​ (Power Convertor)</t>
        </is>
      </c>
      <c r="C143" s="8" t="inlineStr">
        <is>
          <t>pcs</t>
        </is>
      </c>
      <c r="D143" s="10" t="n">
        <v>2</v>
      </c>
      <c r="E143" s="11" t="n">
        <v>43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Vacuum Conveyor</t>
        </is>
      </c>
      <c r="C144" s="8" t="inlineStr">
        <is>
          <t>set</t>
        </is>
      </c>
      <c r="D144" s="10" t="n">
        <v>1</v>
      </c>
      <c r="E144" s="11" t="n">
        <v>1000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Vertical Injection Press</t>
        </is>
      </c>
      <c r="C145" s="8" t="inlineStr">
        <is>
          <t>set</t>
        </is>
      </c>
      <c r="D145" s="10" t="n">
        <v>1</v>
      </c>
      <c r="E145" s="11" t="n">
        <v>3000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Water Curtain</t>
        </is>
      </c>
      <c r="C146" s="8" t="inlineStr">
        <is>
          <t>pcs</t>
        </is>
      </c>
      <c r="D146" s="10" t="n">
        <v>8</v>
      </c>
      <c r="E146" s="11" t="n">
        <v>1000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Water Purifier</t>
        </is>
      </c>
      <c r="C147" s="8" t="inlineStr">
        <is>
          <t>set</t>
        </is>
      </c>
      <c r="D147" s="10" t="n">
        <v>1</v>
      </c>
      <c r="E147" s="11" t="n">
        <v>4142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Water Tank</t>
        </is>
      </c>
      <c r="C148" s="8" t="inlineStr">
        <is>
          <t>pcs</t>
        </is>
      </c>
      <c r="D148" s="10" t="n">
        <v>5</v>
      </c>
      <c r="E148" s="11" t="n">
        <v>400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Hand-Hold Spray Mold</t>
        </is>
      </c>
      <c r="C149" s="8" t="inlineStr">
        <is>
          <t>set</t>
        </is>
      </c>
      <c r="D149" s="10" t="n">
        <v>200</v>
      </c>
      <c r="E149" s="11" t="n">
        <v>20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Glass</t>
        </is>
      </c>
      <c r="C150" s="8" t="inlineStr">
        <is>
          <t>m</t>
        </is>
      </c>
      <c r="D150" s="10" t="n">
        <v>800</v>
      </c>
      <c r="E150" s="11" t="n">
        <v>4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Tarpaulin</t>
        </is>
      </c>
      <c r="C151" s="8" t="inlineStr">
        <is>
          <t>set</t>
        </is>
      </c>
      <c r="D151" s="10" t="n">
        <v>8</v>
      </c>
      <c r="E151" s="11" t="n">
        <v>20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Aluminum Plate</t>
        </is>
      </c>
      <c r="C152" s="8" t="inlineStr">
        <is>
          <t>m</t>
        </is>
      </c>
      <c r="D152" s="10" t="n">
        <v>700</v>
      </c>
      <c r="E152" s="11" t="n">
        <v>12.5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Titanium Plate</t>
        </is>
      </c>
      <c r="C153" s="8" t="inlineStr">
        <is>
          <t>m</t>
        </is>
      </c>
      <c r="D153" s="10" t="n">
        <v>700</v>
      </c>
      <c r="E153" s="11" t="n">
        <v>10.5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B154" s="9" t="inlineStr">
        <is>
          <t>Glass Magnesium Plate</t>
        </is>
      </c>
      <c r="C154" s="8" t="inlineStr">
        <is>
          <t>m</t>
        </is>
      </c>
      <c r="D154" s="10" t="n">
        <v>500</v>
      </c>
      <c r="E154" s="11" t="n">
        <v>15.5</v>
      </c>
      <c r="F154" s="12">
        <f>IF(AND(D154&lt;&gt;"",E154&lt;&gt;""),D154*E154,"")</f>
        <v/>
      </c>
      <c r="G154" s="13" t="n"/>
      <c r="H154" s="13" t="n">
        <v>100</v>
      </c>
      <c r="I154" s="14" t="inlineStr">
        <is>
          <t>II- Machinery and Equipment</t>
        </is>
      </c>
      <c r="J154" s="9" t="inlineStr"/>
    </row>
    <row r="155">
      <c r="A155" s="8">
        <f>IF(AND(ISBLANK(B155),ISBLANK(C155),ISBLANK(D155),ISBLANK(E155),ISBLANK(G155),ISBLANK(H155),ISBLANK(J155)),"",ROW()-6)</f>
        <v/>
      </c>
      <c r="B155" s="9" t="inlineStr">
        <is>
          <t>Tile Glue</t>
        </is>
      </c>
      <c r="C155" s="8" t="inlineStr">
        <is>
          <t>kg</t>
        </is>
      </c>
      <c r="D155" s="10" t="n">
        <v>12000</v>
      </c>
      <c r="E155" s="11" t="n">
        <v>0.25</v>
      </c>
      <c r="F155" s="12">
        <f>IF(AND(D155&lt;&gt;"",E155&lt;&gt;""),D155*E155,"")</f>
        <v/>
      </c>
      <c r="G155" s="13" t="n"/>
      <c r="H155" s="13" t="n">
        <v>100</v>
      </c>
      <c r="I155" s="14" t="inlineStr">
        <is>
          <t>II- Machinery and Equipment</t>
        </is>
      </c>
      <c r="J155" s="9" t="inlineStr"/>
    </row>
    <row r="156">
      <c r="A156" s="8">
        <f>IF(AND(ISBLANK(B156),ISBLANK(C156),ISBLANK(D156),ISBLANK(E156),ISBLANK(G156),ISBLANK(H156),ISBLANK(J156)),"",ROW()-6)</f>
        <v/>
      </c>
      <c r="B156" s="9" t="inlineStr">
        <is>
          <t>Plastic Pipe</t>
        </is>
      </c>
      <c r="C156" s="8" t="inlineStr">
        <is>
          <t>m</t>
        </is>
      </c>
      <c r="D156" s="10" t="n">
        <v>240</v>
      </c>
      <c r="E156" s="11" t="n">
        <v>18.5</v>
      </c>
      <c r="F156" s="12">
        <f>IF(AND(D156&lt;&gt;"",E156&lt;&gt;""),D156*E156,"")</f>
        <v/>
      </c>
      <c r="G156" s="13" t="n"/>
      <c r="H156" s="13" t="n">
        <v>100</v>
      </c>
      <c r="I156" s="14" t="inlineStr">
        <is>
          <t>II- Machinery and Equipment</t>
        </is>
      </c>
      <c r="J156" s="9" t="inlineStr"/>
    </row>
    <row r="157">
      <c r="A157" s="8">
        <f>IF(AND(ISBLANK(B157),ISBLANK(C157),ISBLANK(D157),ISBLANK(E157),ISBLANK(G157),ISBLANK(H157),ISBLANK(J157)),"",ROW()-6)</f>
        <v/>
      </c>
      <c r="B157" s="9" t="inlineStr">
        <is>
          <t>0.5mm Color Steel Tile</t>
        </is>
      </c>
      <c r="C157" s="8" t="inlineStr">
        <is>
          <t>kg</t>
        </is>
      </c>
      <c r="D157" s="10" t="n">
        <v>25000</v>
      </c>
      <c r="E157" s="11" t="n">
        <v>0.85</v>
      </c>
      <c r="F157" s="12">
        <f>IF(AND(D157&lt;&gt;"",E157&lt;&gt;""),D157*E157,"")</f>
        <v/>
      </c>
      <c r="G157" s="13" t="n"/>
      <c r="H157" s="13" t="n">
        <v>100</v>
      </c>
      <c r="I157" s="14" t="inlineStr">
        <is>
          <t>II- Machinery and Equipment</t>
        </is>
      </c>
      <c r="J157" s="9" t="inlineStr"/>
    </row>
    <row r="158">
      <c r="A158" s="8">
        <f>IF(AND(ISBLANK(B158),ISBLANK(C158),ISBLANK(D158),ISBLANK(E158),ISBLANK(G158),ISBLANK(H158),ISBLANK(J158)),"",ROW()-6)</f>
        <v/>
      </c>
      <c r="B158" s="9" t="inlineStr">
        <is>
          <t>75mm Flame-Retardant Glass Cotton</t>
        </is>
      </c>
      <c r="C158" s="8" t="inlineStr">
        <is>
          <t>m</t>
        </is>
      </c>
      <c r="D158" s="10" t="n">
        <v>8400</v>
      </c>
      <c r="E158" s="11" t="n">
        <v>1.5</v>
      </c>
      <c r="F158" s="12">
        <f>IF(AND(D158&lt;&gt;"",E158&lt;&gt;""),D158*E158,"")</f>
        <v/>
      </c>
      <c r="G158" s="13" t="n"/>
      <c r="H158" s="13" t="n">
        <v>100</v>
      </c>
      <c r="I158" s="14" t="inlineStr">
        <is>
          <t>II- Machinery and Equipment</t>
        </is>
      </c>
      <c r="J158" s="9" t="inlineStr"/>
    </row>
    <row r="159">
      <c r="A159" s="8">
        <f>IF(AND(ISBLANK(B159),ISBLANK(C159),ISBLANK(D159),ISBLANK(E159),ISBLANK(G159),ISBLANK(H159),ISBLANK(J159)),"",ROW()-6)</f>
        <v/>
      </c>
      <c r="B159" s="9" t="inlineStr">
        <is>
          <t>Air Building H250*125*5*8</t>
        </is>
      </c>
      <c r="C159" s="8" t="inlineStr">
        <is>
          <t>kg</t>
        </is>
      </c>
      <c r="D159" s="10" t="n">
        <v>7000</v>
      </c>
      <c r="E159" s="11" t="n">
        <v>0.9</v>
      </c>
      <c r="F159" s="12">
        <f>IF(AND(D159&lt;&gt;"",E159&lt;&gt;""),D159*E159,"")</f>
        <v/>
      </c>
      <c r="G159" s="13" t="n"/>
      <c r="H159" s="13" t="n">
        <v>100</v>
      </c>
      <c r="I159" s="14" t="inlineStr">
        <is>
          <t>II- Machinery and Equipment</t>
        </is>
      </c>
      <c r="J159" s="9" t="inlineStr"/>
    </row>
    <row r="160">
      <c r="A160" s="8">
        <f>IF(AND(ISBLANK(B160),ISBLANK(C160),ISBLANK(D160),ISBLANK(E160),ISBLANK(G160),ISBLANK(H160),ISBLANK(J160)),"",ROW()-6)</f>
        <v/>
      </c>
      <c r="B160" s="9" t="inlineStr">
        <is>
          <t>Air Switch</t>
        </is>
      </c>
      <c r="C160" s="8" t="inlineStr">
        <is>
          <t>set</t>
        </is>
      </c>
      <c r="D160" s="10" t="n">
        <v>80</v>
      </c>
      <c r="E160" s="11" t="n">
        <v>2</v>
      </c>
      <c r="F160" s="12">
        <f>IF(AND(D160&lt;&gt;"",E160&lt;&gt;""),D160*E160,"")</f>
        <v/>
      </c>
      <c r="G160" s="13" t="n"/>
      <c r="H160" s="13" t="n">
        <v>100</v>
      </c>
      <c r="I160" s="14" t="inlineStr">
        <is>
          <t>II- Machinery and Equipment</t>
        </is>
      </c>
      <c r="J160" s="9" t="inlineStr"/>
    </row>
    <row r="161">
      <c r="A161" s="8">
        <f>IF(AND(ISBLANK(B161),ISBLANK(C161),ISBLANK(D161),ISBLANK(E161),ISBLANK(G161),ISBLANK(H161),ISBLANK(J161)),"",ROW()-6)</f>
        <v/>
      </c>
      <c r="B161" s="9" t="inlineStr">
        <is>
          <t>Alternator</t>
        </is>
      </c>
      <c r="C161" s="8" t="inlineStr">
        <is>
          <t>set</t>
        </is>
      </c>
      <c r="D161" s="10" t="n">
        <v>1</v>
      </c>
      <c r="E161" s="11" t="n">
        <v>4100</v>
      </c>
      <c r="F161" s="12">
        <f>IF(AND(D161&lt;&gt;"",E161&lt;&gt;""),D161*E161,"")</f>
        <v/>
      </c>
      <c r="G161" s="13" t="n"/>
      <c r="H161" s="13" t="n">
        <v>100</v>
      </c>
      <c r="I161" s="14" t="inlineStr">
        <is>
          <t>II- Machinery and Equipment</t>
        </is>
      </c>
      <c r="J161" s="9" t="inlineStr"/>
    </row>
    <row r="162">
      <c r="A162" s="8">
        <f>IF(AND(ISBLANK(B162),ISBLANK(C162),ISBLANK(D162),ISBLANK(E162),ISBLANK(G162),ISBLANK(H162),ISBLANK(J162)),"",ROW()-6)</f>
        <v/>
      </c>
      <c r="B162" s="9" t="inlineStr">
        <is>
          <t>Aluminum Alloy Push and Pull Window</t>
        </is>
      </c>
      <c r="C162" s="8" t="inlineStr">
        <is>
          <t>m</t>
        </is>
      </c>
      <c r="D162" s="10" t="n">
        <v>360</v>
      </c>
      <c r="E162" s="11" t="n">
        <v>50</v>
      </c>
      <c r="F162" s="12">
        <f>IF(AND(D162&lt;&gt;"",E162&lt;&gt;""),D162*E162,"")</f>
        <v/>
      </c>
      <c r="G162" s="13" t="n"/>
      <c r="H162" s="13" t="n">
        <v>100</v>
      </c>
      <c r="I162" s="14" t="inlineStr">
        <is>
          <t>II- Machinery and Equipment</t>
        </is>
      </c>
      <c r="J162" s="9" t="inlineStr"/>
    </row>
    <row r="163">
      <c r="A163" s="8">
        <f>IF(AND(ISBLANK(B163),ISBLANK(C163),ISBLANK(D163),ISBLANK(E163),ISBLANK(G163),ISBLANK(H163),ISBLANK(J163)),"",ROW()-6)</f>
        <v/>
      </c>
      <c r="B163" s="9" t="inlineStr">
        <is>
          <t>Aluminum Blinds</t>
        </is>
      </c>
      <c r="C163" s="8" t="inlineStr">
        <is>
          <t>m</t>
        </is>
      </c>
      <c r="D163" s="10" t="n">
        <v>90</v>
      </c>
      <c r="E163" s="11" t="n">
        <v>50</v>
      </c>
      <c r="F163" s="12">
        <f>IF(AND(D163&lt;&gt;"",E163&lt;&gt;""),D163*E163,"")</f>
        <v/>
      </c>
      <c r="G163" s="13" t="n"/>
      <c r="H163" s="13" t="n">
        <v>100</v>
      </c>
      <c r="I163" s="14" t="inlineStr">
        <is>
          <t>II- Machinery and Equipment</t>
        </is>
      </c>
      <c r="J163" s="9" t="inlineStr"/>
    </row>
    <row r="164">
      <c r="A164" s="8">
        <f>IF(AND(ISBLANK(B164),ISBLANK(C164),ISBLANK(D164),ISBLANK(E164),ISBLANK(G164),ISBLANK(H164),ISBLANK(J164)),"",ROW()-6)</f>
        <v/>
      </c>
      <c r="B164" s="9" t="inlineStr">
        <is>
          <t>Aluminum Door</t>
        </is>
      </c>
      <c r="C164" s="8" t="inlineStr">
        <is>
          <t>set</t>
        </is>
      </c>
      <c r="D164" s="10" t="n">
        <v>40</v>
      </c>
      <c r="E164" s="11" t="n">
        <v>50</v>
      </c>
      <c r="F164" s="12">
        <f>IF(AND(D164&lt;&gt;"",E164&lt;&gt;""),D164*E164,"")</f>
        <v/>
      </c>
      <c r="G164" s="13" t="n"/>
      <c r="H164" s="13" t="n">
        <v>100</v>
      </c>
      <c r="I164" s="14" t="inlineStr">
        <is>
          <t>II- Machinery and Equipment</t>
        </is>
      </c>
      <c r="J164" s="9" t="inlineStr"/>
    </row>
    <row r="165">
      <c r="A165" s="8">
        <f>IF(AND(ISBLANK(B165),ISBLANK(C165),ISBLANK(D165),ISBLANK(E165),ISBLANK(G165),ISBLANK(H165),ISBLANK(J165)),"",ROW()-6)</f>
        <v/>
      </c>
      <c r="B165" s="9" t="inlineStr">
        <is>
          <t>Aluminum Foil Paper</t>
        </is>
      </c>
      <c r="C165" s="8" t="inlineStr">
        <is>
          <t>roll</t>
        </is>
      </c>
      <c r="D165" s="10" t="n">
        <v>70</v>
      </c>
      <c r="E165" s="11" t="n">
        <v>45</v>
      </c>
      <c r="F165" s="12">
        <f>IF(AND(D165&lt;&gt;"",E165&lt;&gt;""),D165*E165,"")</f>
        <v/>
      </c>
      <c r="G165" s="13" t="n"/>
      <c r="H165" s="13" t="n">
        <v>100</v>
      </c>
      <c r="I165" s="14" t="inlineStr">
        <is>
          <t>II- Machinery and Equipment</t>
        </is>
      </c>
      <c r="J165" s="9" t="inlineStr"/>
    </row>
    <row r="166">
      <c r="A166" s="8">
        <f>IF(AND(ISBLANK(B166),ISBLANK(C166),ISBLANK(D166),ISBLANK(E166),ISBLANK(G166),ISBLANK(H166),ISBLANK(J166)),"",ROW()-6)</f>
        <v/>
      </c>
      <c r="B166" s="9" t="inlineStr">
        <is>
          <t>Aluminum Frame (Various Sizes)</t>
        </is>
      </c>
      <c r="C166" s="8" t="inlineStr">
        <is>
          <t>set</t>
        </is>
      </c>
      <c r="D166" s="10" t="n">
        <v>10</v>
      </c>
      <c r="E166" s="11" t="n">
        <v>45</v>
      </c>
      <c r="F166" s="12">
        <f>IF(AND(D166&lt;&gt;"",E166&lt;&gt;""),D166*E166,"")</f>
        <v/>
      </c>
      <c r="G166" s="13" t="n"/>
      <c r="H166" s="13" t="n">
        <v>100</v>
      </c>
      <c r="I166" s="14" t="inlineStr">
        <is>
          <t>II- Machinery and Equipment</t>
        </is>
      </c>
      <c r="J166" s="9" t="inlineStr"/>
    </row>
    <row r="167">
      <c r="A167" s="8">
        <f>IF(AND(ISBLANK(B167),ISBLANK(C167),ISBLANK(D167),ISBLANK(E167),ISBLANK(G167),ISBLANK(H167),ISBLANK(J167)),"",ROW()-6)</f>
        <v/>
      </c>
      <c r="B167" s="9" t="inlineStr">
        <is>
          <t>Angle Iron</t>
        </is>
      </c>
      <c r="C167" s="8" t="inlineStr">
        <is>
          <t>kg</t>
        </is>
      </c>
      <c r="D167" s="10" t="n">
        <v>12000</v>
      </c>
      <c r="E167" s="11" t="n">
        <v>0.65</v>
      </c>
      <c r="F167" s="12">
        <f>IF(AND(D167&lt;&gt;"",E167&lt;&gt;""),D167*E167,"")</f>
        <v/>
      </c>
      <c r="G167" s="13" t="n"/>
      <c r="H167" s="13" t="n">
        <v>100</v>
      </c>
      <c r="I167" s="14" t="inlineStr">
        <is>
          <t>II- Machinery and Equipment</t>
        </is>
      </c>
      <c r="J167" s="9" t="inlineStr"/>
    </row>
    <row r="168">
      <c r="A168" s="8">
        <f>IF(AND(ISBLANK(B168),ISBLANK(C168),ISBLANK(D168),ISBLANK(E168),ISBLANK(G168),ISBLANK(H168),ISBLANK(J168)),"",ROW()-6)</f>
        <v/>
      </c>
      <c r="B168" s="9" t="inlineStr">
        <is>
          <t>Automatic Telescopic Door</t>
        </is>
      </c>
      <c r="C168" s="8" t="inlineStr">
        <is>
          <t>set</t>
        </is>
      </c>
      <c r="D168" s="10" t="n">
        <v>1</v>
      </c>
      <c r="E168" s="11" t="n">
        <v>1000</v>
      </c>
      <c r="F168" s="12">
        <f>IF(AND(D168&lt;&gt;"",E168&lt;&gt;""),D168*E168,"")</f>
        <v/>
      </c>
      <c r="G168" s="13" t="n"/>
      <c r="H168" s="13" t="n">
        <v>100</v>
      </c>
      <c r="I168" s="14" t="inlineStr">
        <is>
          <t>II- Machinery and Equipment</t>
        </is>
      </c>
      <c r="J168" s="9" t="inlineStr"/>
    </row>
    <row r="169">
      <c r="A169" s="8">
        <f>IF(AND(ISBLANK(B169),ISBLANK(C169),ISBLANK(D169),ISBLANK(E169),ISBLANK(G169),ISBLANK(H169),ISBLANK(J169)),"",ROW()-6)</f>
        <v/>
      </c>
      <c r="B169" s="9" t="inlineStr">
        <is>
          <t>Backup Plate</t>
        </is>
      </c>
      <c r="C169" s="8" t="inlineStr">
        <is>
          <t>kg</t>
        </is>
      </c>
      <c r="D169" s="10" t="n">
        <v>10000</v>
      </c>
      <c r="E169" s="11" t="n">
        <v>0.9</v>
      </c>
      <c r="F169" s="12">
        <f>IF(AND(D169&lt;&gt;"",E169&lt;&gt;""),D169*E169,"")</f>
        <v/>
      </c>
      <c r="G169" s="13" t="n"/>
      <c r="H169" s="13" t="n">
        <v>100</v>
      </c>
      <c r="I169" s="14" t="inlineStr">
        <is>
          <t>II- Machinery and Equipment</t>
        </is>
      </c>
      <c r="J169" s="9" t="inlineStr"/>
    </row>
    <row r="170">
      <c r="A170" s="8">
        <f>IF(AND(ISBLANK(B170),ISBLANK(C170),ISBLANK(D170),ISBLANK(E170),ISBLANK(G170),ISBLANK(H170),ISBLANK(J170)),"",ROW()-6)</f>
        <v/>
      </c>
      <c r="B170" s="9" t="inlineStr">
        <is>
          <t>Bottom of the Wall Edge</t>
        </is>
      </c>
      <c r="C170" s="8" t="inlineStr">
        <is>
          <t>m</t>
        </is>
      </c>
      <c r="D170" s="10" t="n">
        <v>900</v>
      </c>
      <c r="E170" s="11" t="n">
        <v>2.5</v>
      </c>
      <c r="F170" s="12">
        <f>IF(AND(D170&lt;&gt;"",E170&lt;&gt;""),D170*E170,"")</f>
        <v/>
      </c>
      <c r="G170" s="13" t="n"/>
      <c r="H170" s="13" t="n">
        <v>100</v>
      </c>
      <c r="I170" s="14" t="inlineStr">
        <is>
          <t>II- Machinery and Equipment</t>
        </is>
      </c>
      <c r="J170" s="9" t="inlineStr"/>
    </row>
    <row r="171">
      <c r="A171" s="8">
        <f>IF(AND(ISBLANK(B171),ISBLANK(C171),ISBLANK(D171),ISBLANK(E171),ISBLANK(G171),ISBLANK(H171),ISBLANK(J171)),"",ROW()-6)</f>
        <v/>
      </c>
      <c r="B171" s="9" t="inlineStr">
        <is>
          <t>Bracket Lamp</t>
        </is>
      </c>
      <c r="C171" s="8" t="inlineStr">
        <is>
          <t>pcs</t>
        </is>
      </c>
      <c r="D171" s="10" t="n">
        <v>40</v>
      </c>
      <c r="E171" s="11" t="n">
        <v>8</v>
      </c>
      <c r="F171" s="12">
        <f>IF(AND(D171&lt;&gt;"",E171&lt;&gt;""),D171*E171,"")</f>
        <v/>
      </c>
      <c r="G171" s="13" t="n"/>
      <c r="H171" s="13" t="n">
        <v>100</v>
      </c>
      <c r="I171" s="14" t="inlineStr">
        <is>
          <t>II- Machinery and Equipment</t>
        </is>
      </c>
      <c r="J171" s="9" t="inlineStr"/>
    </row>
    <row r="172">
      <c r="A172" s="8">
        <f>IF(AND(ISBLANK(B172),ISBLANK(C172),ISBLANK(D172),ISBLANK(E172),ISBLANK(G172),ISBLANK(H172),ISBLANK(J172)),"",ROW()-6)</f>
        <v/>
      </c>
      <c r="B172" s="9" t="inlineStr">
        <is>
          <t>Cable (Various Specifications)</t>
        </is>
      </c>
      <c r="C172" s="8" t="inlineStr">
        <is>
          <t>m</t>
        </is>
      </c>
      <c r="D172" s="10" t="n">
        <v>500</v>
      </c>
      <c r="E172" s="11" t="n">
        <v>60</v>
      </c>
      <c r="F172" s="12">
        <f>IF(AND(D172&lt;&gt;"",E172&lt;&gt;""),D172*E172,"")</f>
        <v/>
      </c>
      <c r="G172" s="13" t="n"/>
      <c r="H172" s="13" t="n">
        <v>100</v>
      </c>
      <c r="I172" s="14" t="inlineStr">
        <is>
          <t>II- Machinery and Equipment</t>
        </is>
      </c>
      <c r="J172" s="9" t="inlineStr"/>
    </row>
    <row r="173">
      <c r="A173" s="8">
        <f>IF(AND(ISBLANK(B173),ISBLANK(C173),ISBLANK(D173),ISBLANK(E173),ISBLANK(G173),ISBLANK(H173),ISBLANK(J173)),"",ROW()-6)</f>
        <v/>
      </c>
      <c r="B173" s="9" t="inlineStr">
        <is>
          <t>Cable Tray</t>
        </is>
      </c>
      <c r="C173" s="8" t="inlineStr">
        <is>
          <t>m</t>
        </is>
      </c>
      <c r="D173" s="10" t="n">
        <v>500</v>
      </c>
      <c r="E173" s="11" t="n">
        <v>60</v>
      </c>
      <c r="F173" s="12">
        <f>IF(AND(D173&lt;&gt;"",E173&lt;&gt;""),D173*E173,"")</f>
        <v/>
      </c>
      <c r="G173" s="13" t="n"/>
      <c r="H173" s="13" t="n">
        <v>100</v>
      </c>
      <c r="I173" s="14" t="inlineStr">
        <is>
          <t>II- Machinery and Equipment</t>
        </is>
      </c>
      <c r="J173" s="9" t="inlineStr"/>
    </row>
    <row r="174">
      <c r="A174" s="8">
        <f>IF(AND(ISBLANK(B174),ISBLANK(C174),ISBLANK(D174),ISBLANK(E174),ISBLANK(G174),ISBLANK(H174),ISBLANK(J174)),"",ROW()-6)</f>
        <v/>
      </c>
      <c r="B174" s="9" t="inlineStr">
        <is>
          <t>Calipers</t>
        </is>
      </c>
      <c r="C174" s="8" t="inlineStr">
        <is>
          <t>set</t>
        </is>
      </c>
      <c r="D174" s="10" t="n">
        <v>8</v>
      </c>
      <c r="E174" s="11" t="n">
        <v>20</v>
      </c>
      <c r="F174" s="12">
        <f>IF(AND(D174&lt;&gt;"",E174&lt;&gt;""),D174*E174,"")</f>
        <v/>
      </c>
      <c r="G174" s="13" t="n"/>
      <c r="H174" s="13" t="n">
        <v>100</v>
      </c>
      <c r="I174" s="14" t="inlineStr">
        <is>
          <t>II- Machinery and Equipment</t>
        </is>
      </c>
      <c r="J174" s="9" t="inlineStr"/>
    </row>
    <row r="175">
      <c r="A175" s="8">
        <f>IF(AND(ISBLANK(B175),ISBLANK(C175),ISBLANK(D175),ISBLANK(E175),ISBLANK(G175),ISBLANK(H175),ISBLANK(J175)),"",ROW()-6)</f>
        <v/>
      </c>
      <c r="B175" s="9" t="inlineStr">
        <is>
          <t>Canopy Beam</t>
        </is>
      </c>
      <c r="C175" s="8" t="inlineStr">
        <is>
          <t>kg</t>
        </is>
      </c>
      <c r="D175" s="10" t="n">
        <v>7000</v>
      </c>
      <c r="E175" s="11" t="n">
        <v>0.9</v>
      </c>
      <c r="F175" s="12">
        <f>IF(AND(D175&lt;&gt;"",E175&lt;&gt;""),D175*E175,"")</f>
        <v/>
      </c>
      <c r="G175" s="13" t="n"/>
      <c r="H175" s="13" t="n">
        <v>100</v>
      </c>
      <c r="I175" s="14" t="inlineStr">
        <is>
          <t>II- Machinery and Equipment</t>
        </is>
      </c>
      <c r="J175" s="9" t="inlineStr"/>
    </row>
    <row r="176">
      <c r="A176" s="8">
        <f>IF(AND(ISBLANK(B176),ISBLANK(C176),ISBLANK(D176),ISBLANK(E176),ISBLANK(G176),ISBLANK(H176),ISBLANK(J176)),"",ROW()-6)</f>
        <v/>
      </c>
      <c r="B176" s="9" t="inlineStr">
        <is>
          <t>Ceiling Fan (Diameter 7.3 Meters)</t>
        </is>
      </c>
      <c r="C176" s="8" t="inlineStr">
        <is>
          <t>set</t>
        </is>
      </c>
      <c r="D176" s="10" t="n">
        <v>3</v>
      </c>
      <c r="E176" s="11" t="n">
        <v>1250</v>
      </c>
      <c r="F176" s="12">
        <f>IF(AND(D176&lt;&gt;"",E176&lt;&gt;""),D176*E176,"")</f>
        <v/>
      </c>
      <c r="G176" s="13" t="n"/>
      <c r="H176" s="13" t="n">
        <v>100</v>
      </c>
      <c r="I176" s="14" t="inlineStr">
        <is>
          <t>II- Machinery and Equipment</t>
        </is>
      </c>
      <c r="J176" s="9" t="inlineStr"/>
    </row>
    <row r="177">
      <c r="A177" s="8">
        <f>IF(AND(ISBLANK(B177),ISBLANK(C177),ISBLANK(D177),ISBLANK(E177),ISBLANK(G177),ISBLANK(H177),ISBLANK(J177)),"",ROW()-6)</f>
        <v/>
      </c>
      <c r="B177" s="9" t="inlineStr">
        <is>
          <t>Closet Pan</t>
        </is>
      </c>
      <c r="C177" s="8" t="inlineStr">
        <is>
          <t>set</t>
        </is>
      </c>
      <c r="D177" s="10" t="n">
        <v>40</v>
      </c>
      <c r="E177" s="11" t="n">
        <v>28</v>
      </c>
      <c r="F177" s="12">
        <f>IF(AND(D177&lt;&gt;"",E177&lt;&gt;""),D177*E177,"")</f>
        <v/>
      </c>
      <c r="G177" s="13" t="n"/>
      <c r="H177" s="13" t="n">
        <v>100</v>
      </c>
      <c r="I177" s="14" t="inlineStr">
        <is>
          <t>II- Machinery and Equipment</t>
        </is>
      </c>
      <c r="J177" s="9" t="inlineStr"/>
    </row>
    <row r="178">
      <c r="A178" s="8">
        <f>IF(AND(ISBLANK(B178),ISBLANK(C178),ISBLANK(D178),ISBLANK(E178),ISBLANK(G178),ISBLANK(H178),ISBLANK(J178)),"",ROW()-6)</f>
        <v/>
      </c>
      <c r="B178" s="9" t="inlineStr">
        <is>
          <t>Color Steel Tile Support</t>
        </is>
      </c>
      <c r="C178" s="8" t="inlineStr">
        <is>
          <t>pcs</t>
        </is>
      </c>
      <c r="D178" s="10" t="n">
        <v>8000</v>
      </c>
      <c r="E178" s="11" t="n">
        <v>0.2</v>
      </c>
      <c r="F178" s="12">
        <f>IF(AND(D178&lt;&gt;"",E178&lt;&gt;""),D178*E178,"")</f>
        <v/>
      </c>
      <c r="G178" s="13" t="n"/>
      <c r="H178" s="13" t="n">
        <v>100</v>
      </c>
      <c r="I178" s="14" t="inlineStr">
        <is>
          <t>II- Machinery and Equipment</t>
        </is>
      </c>
      <c r="J178" s="9" t="inlineStr"/>
    </row>
    <row r="179">
      <c r="A179" s="8">
        <f>IF(AND(ISBLANK(B179),ISBLANK(C179),ISBLANK(D179),ISBLANK(E179),ISBLANK(G179),ISBLANK(H179),ISBLANK(J179)),"",ROW()-6)</f>
        <v/>
      </c>
      <c r="B179" s="9" t="inlineStr">
        <is>
          <t>Control Box</t>
        </is>
      </c>
      <c r="C179" s="8" t="inlineStr">
        <is>
          <t>pcs</t>
        </is>
      </c>
      <c r="D179" s="10" t="n">
        <v>4</v>
      </c>
      <c r="E179" s="11" t="n">
        <v>260</v>
      </c>
      <c r="F179" s="12">
        <f>IF(AND(D179&lt;&gt;"",E179&lt;&gt;""),D179*E179,"")</f>
        <v/>
      </c>
      <c r="G179" s="13" t="n"/>
      <c r="H179" s="13" t="n">
        <v>100</v>
      </c>
      <c r="I179" s="14" t="inlineStr">
        <is>
          <t>II- Machinery and Equipment</t>
        </is>
      </c>
      <c r="J179" s="9" t="inlineStr"/>
    </row>
    <row r="180">
      <c r="A180" s="8">
        <f>IF(AND(ISBLANK(B180),ISBLANK(C180),ISBLANK(D180),ISBLANK(E180),ISBLANK(G180),ISBLANK(H180),ISBLANK(J180)),"",ROW()-6)</f>
        <v/>
      </c>
      <c r="B180" s="9" t="inlineStr">
        <is>
          <t>Cooling Tower</t>
        </is>
      </c>
      <c r="C180" s="8" t="inlineStr">
        <is>
          <t>pcs</t>
        </is>
      </c>
      <c r="D180" s="10" t="n">
        <v>1</v>
      </c>
      <c r="E180" s="11" t="n">
        <v>3000</v>
      </c>
      <c r="F180" s="12">
        <f>IF(AND(D180&lt;&gt;"",E180&lt;&gt;""),D180*E180,"")</f>
        <v/>
      </c>
      <c r="G180" s="13" t="n"/>
      <c r="H180" s="13" t="n">
        <v>100</v>
      </c>
      <c r="I180" s="14" t="inlineStr">
        <is>
          <t>II- Machinery and Equipment</t>
        </is>
      </c>
      <c r="J180" s="9" t="inlineStr"/>
    </row>
    <row r="181">
      <c r="A181" s="8">
        <f>IF(AND(ISBLANK(B181),ISBLANK(C181),ISBLANK(D181),ISBLANK(E181),ISBLANK(G181),ISBLANK(H181),ISBLANK(J181)),"",ROW()-6)</f>
        <v/>
      </c>
      <c r="B181" s="9" t="inlineStr">
        <is>
          <t>Copper Core Cable</t>
        </is>
      </c>
      <c r="C181" s="8" t="inlineStr">
        <is>
          <t>m</t>
        </is>
      </c>
      <c r="D181" s="10" t="n">
        <v>240</v>
      </c>
      <c r="E181" s="11" t="n">
        <v>25.5</v>
      </c>
      <c r="F181" s="12">
        <f>IF(AND(D181&lt;&gt;"",E181&lt;&gt;""),D181*E181,"")</f>
        <v/>
      </c>
      <c r="G181" s="13" t="n"/>
      <c r="H181" s="13" t="n">
        <v>100</v>
      </c>
      <c r="I181" s="14" t="inlineStr">
        <is>
          <t>II- Machinery and Equipment</t>
        </is>
      </c>
      <c r="J181" s="9" t="inlineStr"/>
    </row>
    <row r="182">
      <c r="A182" s="8">
        <f>IF(AND(ISBLANK(B182),ISBLANK(C182),ISBLANK(D182),ISBLANK(E182),ISBLANK(G182),ISBLANK(H182),ISBLANK(J182)),"",ROW()-6)</f>
        <v/>
      </c>
      <c r="B182" s="9" t="inlineStr">
        <is>
          <t>Copper Core Wire</t>
        </is>
      </c>
      <c r="C182" s="8" t="inlineStr">
        <is>
          <t>m</t>
        </is>
      </c>
      <c r="D182" s="10" t="n">
        <v>240</v>
      </c>
      <c r="E182" s="11" t="n">
        <v>6</v>
      </c>
      <c r="F182" s="12">
        <f>IF(AND(D182&lt;&gt;"",E182&lt;&gt;""),D182*E182,"")</f>
        <v/>
      </c>
      <c r="G182" s="13" t="n"/>
      <c r="H182" s="13" t="n">
        <v>100</v>
      </c>
      <c r="I182" s="14" t="inlineStr">
        <is>
          <t>II- Machinery and Equipment</t>
        </is>
      </c>
      <c r="J182" s="9" t="inlineStr"/>
    </row>
    <row r="183">
      <c r="A183" s="8">
        <f>IF(AND(ISBLANK(B183),ISBLANK(C183),ISBLANK(D183),ISBLANK(E183),ISBLANK(G183),ISBLANK(H183),ISBLANK(J183)),"",ROW()-6)</f>
        <v/>
      </c>
      <c r="B183" s="9" t="inlineStr">
        <is>
          <t>Core Rivet</t>
        </is>
      </c>
      <c r="C183" s="8" t="inlineStr">
        <is>
          <t>pcs</t>
        </is>
      </c>
      <c r="D183" s="10" t="n">
        <v>10000</v>
      </c>
      <c r="E183" s="11" t="n">
        <v>0.2</v>
      </c>
      <c r="F183" s="12">
        <f>IF(AND(D183&lt;&gt;"",E183&lt;&gt;""),D183*E183,"")</f>
        <v/>
      </c>
      <c r="G183" s="13" t="n"/>
      <c r="H183" s="13" t="n">
        <v>100</v>
      </c>
      <c r="I183" s="14" t="inlineStr">
        <is>
          <t>II- Machinery and Equipment</t>
        </is>
      </c>
      <c r="J183" s="9" t="inlineStr"/>
    </row>
    <row r="184">
      <c r="A184" s="8">
        <f>IF(AND(ISBLANK(B184),ISBLANK(C184),ISBLANK(D184),ISBLANK(E184),ISBLANK(G184),ISBLANK(H184),ISBLANK(J184)),"",ROW()-6)</f>
        <v/>
      </c>
      <c r="B184" s="9" t="inlineStr">
        <is>
          <t>Cornice Edge</t>
        </is>
      </c>
      <c r="C184" s="8" t="inlineStr">
        <is>
          <t>m</t>
        </is>
      </c>
      <c r="D184" s="10" t="n">
        <v>900</v>
      </c>
      <c r="E184" s="11" t="n">
        <v>2.5</v>
      </c>
      <c r="F184" s="12">
        <f>IF(AND(D184&lt;&gt;"",E184&lt;&gt;""),D184*E184,"")</f>
        <v/>
      </c>
      <c r="G184" s="13" t="n"/>
      <c r="H184" s="13" t="n">
        <v>100</v>
      </c>
      <c r="I184" s="14" t="inlineStr">
        <is>
          <t>II- Machinery and Equipment</t>
        </is>
      </c>
      <c r="J184" s="9" t="inlineStr"/>
    </row>
    <row r="185">
      <c r="A185" s="8">
        <f>IF(AND(ISBLANK(B185),ISBLANK(C185),ISBLANK(D185),ISBLANK(E185),ISBLANK(G185),ISBLANK(H185),ISBLANK(J185)),"",ROW()-6)</f>
        <v/>
      </c>
      <c r="B185" s="9" t="inlineStr">
        <is>
          <t>Craftknife</t>
        </is>
      </c>
      <c r="C185" s="8" t="inlineStr">
        <is>
          <t>pcs</t>
        </is>
      </c>
      <c r="D185" s="10" t="n">
        <v>50</v>
      </c>
      <c r="E185" s="11" t="n">
        <v>3</v>
      </c>
      <c r="F185" s="12">
        <f>IF(AND(D185&lt;&gt;"",E185&lt;&gt;""),D185*E185,"")</f>
        <v/>
      </c>
      <c r="G185" s="13" t="n"/>
      <c r="H185" s="13" t="n">
        <v>100</v>
      </c>
      <c r="I185" s="14" t="inlineStr">
        <is>
          <t>II- Machinery and Equipment</t>
        </is>
      </c>
      <c r="J185" s="9" t="inlineStr"/>
    </row>
    <row r="186">
      <c r="A186" s="8">
        <f>IF(AND(ISBLANK(B186),ISBLANK(C186),ISBLANK(D186),ISBLANK(E186),ISBLANK(G186),ISBLANK(H186),ISBLANK(J186)),"",ROW()-6)</f>
        <v/>
      </c>
      <c r="B186" s="9" t="inlineStr">
        <is>
          <t>Curing Agent</t>
        </is>
      </c>
      <c r="C186" s="8" t="inlineStr">
        <is>
          <t>kg</t>
        </is>
      </c>
      <c r="D186" s="10" t="n">
        <v>11000</v>
      </c>
      <c r="E186" s="11" t="n">
        <v>1.2</v>
      </c>
      <c r="F186" s="12">
        <f>IF(AND(D186&lt;&gt;"",E186&lt;&gt;""),D186*E186,"")</f>
        <v/>
      </c>
      <c r="G186" s="13" t="n"/>
      <c r="H186" s="13" t="n">
        <v>100</v>
      </c>
      <c r="I186" s="14" t="inlineStr">
        <is>
          <t>II- Machinery and Equipment</t>
        </is>
      </c>
      <c r="J186" s="9" t="inlineStr"/>
    </row>
    <row r="187">
      <c r="A187" s="8">
        <f>IF(AND(ISBLANK(B187),ISBLANK(C187),ISBLANK(D187),ISBLANK(E187),ISBLANK(G187),ISBLANK(H187),ISBLANK(J187)),"",ROW()-6)</f>
        <v/>
      </c>
      <c r="B187" s="9" t="inlineStr">
        <is>
          <t>Deformed Bar</t>
        </is>
      </c>
      <c r="C187" s="8" t="inlineStr">
        <is>
          <t>kg</t>
        </is>
      </c>
      <c r="D187" s="10" t="n">
        <v>15000</v>
      </c>
      <c r="E187" s="11" t="n">
        <v>0.5600000000000001</v>
      </c>
      <c r="F187" s="12">
        <f>IF(AND(D187&lt;&gt;"",E187&lt;&gt;""),D187*E187,"")</f>
        <v/>
      </c>
      <c r="G187" s="13" t="n"/>
      <c r="H187" s="13" t="n">
        <v>100</v>
      </c>
      <c r="I187" s="14" t="inlineStr">
        <is>
          <t>II- Machinery and Equipment</t>
        </is>
      </c>
      <c r="J187" s="9" t="inlineStr"/>
    </row>
    <row r="188">
      <c r="A188" s="8">
        <f>IF(AND(ISBLANK(B188),ISBLANK(C188),ISBLANK(D188),ISBLANK(E188),ISBLANK(G188),ISBLANK(H188),ISBLANK(J188)),"",ROW()-6)</f>
        <v/>
      </c>
      <c r="B188" s="9" t="inlineStr">
        <is>
          <t>Disinfection Cabinet</t>
        </is>
      </c>
      <c r="C188" s="8" t="inlineStr">
        <is>
          <t>set</t>
        </is>
      </c>
      <c r="D188" s="10" t="n">
        <v>12</v>
      </c>
      <c r="E188" s="11" t="n">
        <v>60</v>
      </c>
      <c r="F188" s="12">
        <f>IF(AND(D188&lt;&gt;"",E188&lt;&gt;""),D188*E188,"")</f>
        <v/>
      </c>
      <c r="G188" s="13" t="n"/>
      <c r="H188" s="13" t="n">
        <v>100</v>
      </c>
      <c r="I188" s="14" t="inlineStr">
        <is>
          <t>II- Machinery and Equipment</t>
        </is>
      </c>
      <c r="J188" s="9" t="inlineStr"/>
    </row>
    <row r="189">
      <c r="A189" s="8">
        <f>IF(AND(ISBLANK(B189),ISBLANK(C189),ISBLANK(D189),ISBLANK(E189),ISBLANK(G189),ISBLANK(H189),ISBLANK(J189)),"",ROW()-6)</f>
        <v/>
      </c>
      <c r="B189" s="9" t="inlineStr">
        <is>
          <t>Distribution Box</t>
        </is>
      </c>
      <c r="C189" s="8" t="inlineStr">
        <is>
          <t>set</t>
        </is>
      </c>
      <c r="D189" s="10" t="n">
        <v>6</v>
      </c>
      <c r="E189" s="11" t="n">
        <v>20</v>
      </c>
      <c r="F189" s="12">
        <f>IF(AND(D189&lt;&gt;"",E189&lt;&gt;""),D189*E189,"")</f>
        <v/>
      </c>
      <c r="G189" s="13" t="n"/>
      <c r="H189" s="13" t="n">
        <v>100</v>
      </c>
      <c r="I189" s="14" t="inlineStr">
        <is>
          <t>II- Machinery and Equipment</t>
        </is>
      </c>
      <c r="J189" s="9" t="inlineStr"/>
    </row>
    <row r="190">
      <c r="A190" s="8">
        <f>IF(AND(ISBLANK(B190),ISBLANK(C190),ISBLANK(D190),ISBLANK(E190),ISBLANK(G190),ISBLANK(H190),ISBLANK(J190)),"",ROW()-6)</f>
        <v/>
      </c>
      <c r="B190" s="9" t="inlineStr">
        <is>
          <t>Drill Tail Screw M4.8</t>
        </is>
      </c>
      <c r="C190" s="8" t="inlineStr">
        <is>
          <t>pcs</t>
        </is>
      </c>
      <c r="D190" s="10" t="n">
        <v>20000</v>
      </c>
      <c r="E190" s="11" t="n">
        <v>0.1</v>
      </c>
      <c r="F190" s="12">
        <f>IF(AND(D190&lt;&gt;"",E190&lt;&gt;""),D190*E190,"")</f>
        <v/>
      </c>
      <c r="G190" s="13" t="n"/>
      <c r="H190" s="13" t="n">
        <v>100</v>
      </c>
      <c r="I190" s="14" t="inlineStr">
        <is>
          <t>II- Machinery and Equipment</t>
        </is>
      </c>
      <c r="J190" s="9" t="inlineStr"/>
    </row>
    <row r="191">
      <c r="A191" s="8">
        <f>IF(AND(ISBLANK(B191),ISBLANK(C191),ISBLANK(D191),ISBLANK(E191),ISBLANK(G191),ISBLANK(H191),ISBLANK(J191)),"",ROW()-6)</f>
        <v/>
      </c>
      <c r="B191" s="9" t="inlineStr">
        <is>
          <t>Electric Hand Drill</t>
        </is>
      </c>
      <c r="C191" s="8" t="inlineStr">
        <is>
          <t>set</t>
        </is>
      </c>
      <c r="D191" s="10" t="n">
        <v>10</v>
      </c>
      <c r="E191" s="11" t="n">
        <v>40</v>
      </c>
      <c r="F191" s="12">
        <f>IF(AND(D191&lt;&gt;"",E191&lt;&gt;""),D191*E191,"")</f>
        <v/>
      </c>
      <c r="G191" s="13" t="n"/>
      <c r="H191" s="13" t="n">
        <v>100</v>
      </c>
      <c r="I191" s="14" t="inlineStr">
        <is>
          <t>II- Machinery and Equipment</t>
        </is>
      </c>
      <c r="J191" s="9" t="inlineStr"/>
    </row>
    <row r="192">
      <c r="A192" s="8">
        <f>IF(AND(ISBLANK(B192),ISBLANK(C192),ISBLANK(D192),ISBLANK(E192),ISBLANK(G192),ISBLANK(H192),ISBLANK(J192)),"",ROW()-6)</f>
        <v/>
      </c>
      <c r="B192" s="9" t="inlineStr">
        <is>
          <t>Electric Stainless Steel Door</t>
        </is>
      </c>
      <c r="C192" s="8" t="inlineStr">
        <is>
          <t>set</t>
        </is>
      </c>
      <c r="D192" s="10" t="n">
        <v>1</v>
      </c>
      <c r="E192" s="11" t="n">
        <v>1300</v>
      </c>
      <c r="F192" s="12">
        <f>IF(AND(D192&lt;&gt;"",E192&lt;&gt;""),D192*E192,"")</f>
        <v/>
      </c>
      <c r="G192" s="13" t="n"/>
      <c r="H192" s="13" t="n">
        <v>100</v>
      </c>
      <c r="I192" s="14" t="inlineStr">
        <is>
          <t>II- Machinery and Equipment</t>
        </is>
      </c>
      <c r="J192" s="9" t="inlineStr"/>
    </row>
    <row r="193">
      <c r="A193" s="8">
        <f>IF(AND(ISBLANK(B193),ISBLANK(C193),ISBLANK(D193),ISBLANK(E193),ISBLANK(G193),ISBLANK(H193),ISBLANK(J193)),"",ROW()-6)</f>
        <v/>
      </c>
      <c r="B193" s="9" t="inlineStr">
        <is>
          <t>Electric Tape</t>
        </is>
      </c>
      <c r="C193" s="8" t="inlineStr">
        <is>
          <t>roll</t>
        </is>
      </c>
      <c r="D193" s="10" t="n">
        <v>500</v>
      </c>
      <c r="E193" s="11" t="n">
        <v>0.4</v>
      </c>
      <c r="F193" s="12">
        <f>IF(AND(D193&lt;&gt;"",E193&lt;&gt;""),D193*E193,"")</f>
        <v/>
      </c>
      <c r="G193" s="13" t="n"/>
      <c r="H193" s="13" t="n">
        <v>100</v>
      </c>
      <c r="I193" s="14" t="inlineStr">
        <is>
          <t>II- Machinery and Equipment</t>
        </is>
      </c>
      <c r="J193" s="9" t="inlineStr"/>
    </row>
    <row r="194">
      <c r="A194" s="8">
        <f>IF(AND(ISBLANK(B194),ISBLANK(C194),ISBLANK(D194),ISBLANK(E194),ISBLANK(G194),ISBLANK(H194),ISBLANK(J194)),"",ROW()-6)</f>
        <v/>
      </c>
      <c r="B194" s="9" t="inlineStr">
        <is>
          <t>Electric Wire</t>
        </is>
      </c>
      <c r="C194" s="8" t="inlineStr">
        <is>
          <t>roll</t>
        </is>
      </c>
      <c r="D194" s="10" t="n">
        <v>60</v>
      </c>
      <c r="E194" s="11" t="n">
        <v>35</v>
      </c>
      <c r="F194" s="12">
        <f>IF(AND(D194&lt;&gt;"",E194&lt;&gt;""),D194*E194,"")</f>
        <v/>
      </c>
      <c r="G194" s="13" t="n"/>
      <c r="H194" s="13" t="n">
        <v>100</v>
      </c>
      <c r="I194" s="14" t="inlineStr">
        <is>
          <t>II- Machinery and Equipment</t>
        </is>
      </c>
      <c r="J194" s="9" t="inlineStr"/>
    </row>
    <row r="195">
      <c r="A195" s="8">
        <f>IF(AND(ISBLANK(B195),ISBLANK(C195),ISBLANK(D195),ISBLANK(E195),ISBLANK(G195),ISBLANK(H195),ISBLANK(J195)),"",ROW()-6)</f>
        <v/>
      </c>
      <c r="B195" s="9" t="inlineStr">
        <is>
          <t>Emergency Light</t>
        </is>
      </c>
      <c r="C195" s="8" t="inlineStr">
        <is>
          <t>pcs</t>
        </is>
      </c>
      <c r="D195" s="10" t="n">
        <v>24</v>
      </c>
      <c r="E195" s="11" t="n">
        <v>25</v>
      </c>
      <c r="F195" s="12">
        <f>IF(AND(D195&lt;&gt;"",E195&lt;&gt;""),D195*E195,"")</f>
        <v/>
      </c>
      <c r="G195" s="13" t="n"/>
      <c r="H195" s="13" t="n">
        <v>100</v>
      </c>
      <c r="I195" s="14" t="inlineStr">
        <is>
          <t>II- Machinery and Equipment</t>
        </is>
      </c>
      <c r="J195" s="9" t="inlineStr"/>
    </row>
    <row r="196">
      <c r="A196" s="8">
        <f>IF(AND(ISBLANK(B196),ISBLANK(C196),ISBLANK(D196),ISBLANK(E196),ISBLANK(G196),ISBLANK(H196),ISBLANK(J196)),"",ROW()-6)</f>
        <v/>
      </c>
      <c r="B196" s="9" t="inlineStr">
        <is>
          <t>Exhaust Fan</t>
        </is>
      </c>
      <c r="C196" s="8" t="inlineStr">
        <is>
          <t>set</t>
        </is>
      </c>
      <c r="D196" s="10" t="n">
        <v>24</v>
      </c>
      <c r="E196" s="11" t="n">
        <v>10</v>
      </c>
      <c r="F196" s="12">
        <f>IF(AND(D196&lt;&gt;"",E196&lt;&gt;""),D196*E196,"")</f>
        <v/>
      </c>
      <c r="G196" s="13" t="n"/>
      <c r="H196" s="13" t="n">
        <v>100</v>
      </c>
      <c r="I196" s="14" t="inlineStr">
        <is>
          <t>II- Machinery and Equipment</t>
        </is>
      </c>
      <c r="J196" s="9" t="inlineStr"/>
    </row>
    <row r="197">
      <c r="A197" s="8">
        <f>IF(AND(ISBLANK(B197),ISBLANK(C197),ISBLANK(D197),ISBLANK(E197),ISBLANK(G197),ISBLANK(H197),ISBLANK(J197)),"",ROW()-6)</f>
        <v/>
      </c>
      <c r="B197" s="9" t="inlineStr">
        <is>
          <t>Explosion Proof Lamp</t>
        </is>
      </c>
      <c r="C197" s="8" t="inlineStr">
        <is>
          <t>pcs</t>
        </is>
      </c>
      <c r="D197" s="10" t="n">
        <v>60</v>
      </c>
      <c r="E197" s="11" t="n">
        <v>9</v>
      </c>
      <c r="F197" s="12">
        <f>IF(AND(D197&lt;&gt;"",E197&lt;&gt;""),D197*E197,"")</f>
        <v/>
      </c>
      <c r="G197" s="13" t="n"/>
      <c r="H197" s="13" t="n">
        <v>100</v>
      </c>
      <c r="I197" s="14" t="inlineStr">
        <is>
          <t>II- Machinery and Equipment</t>
        </is>
      </c>
      <c r="J197" s="9" t="inlineStr"/>
    </row>
    <row r="198">
      <c r="A198" s="8">
        <f>IF(AND(ISBLANK(B198),ISBLANK(C198),ISBLANK(D198),ISBLANK(E198),ISBLANK(G198),ISBLANK(H198),ISBLANK(J198)),"",ROW()-6)</f>
        <v/>
      </c>
      <c r="B198" s="9" t="inlineStr">
        <is>
          <t>Exterior Wall Angle</t>
        </is>
      </c>
      <c r="C198" s="8" t="inlineStr">
        <is>
          <t>m</t>
        </is>
      </c>
      <c r="D198" s="10" t="n">
        <v>110</v>
      </c>
      <c r="E198" s="11" t="n">
        <v>1</v>
      </c>
      <c r="F198" s="12">
        <f>IF(AND(D198&lt;&gt;"",E198&lt;&gt;""),D198*E198,"")</f>
        <v/>
      </c>
      <c r="G198" s="13" t="n"/>
      <c r="H198" s="13" t="n">
        <v>100</v>
      </c>
      <c r="I198" s="14" t="inlineStr">
        <is>
          <t>II- Machinery and Equipment</t>
        </is>
      </c>
      <c r="J198" s="9" t="inlineStr"/>
    </row>
    <row r="199">
      <c r="A199" s="8">
        <f>IF(AND(ISBLANK(B199),ISBLANK(C199),ISBLANK(D199),ISBLANK(E199),ISBLANK(G199),ISBLANK(H199),ISBLANK(J199)),"",ROW()-6)</f>
        <v/>
      </c>
      <c r="B199" s="9" t="inlineStr">
        <is>
          <t>Facial Recognition Access Control Device</t>
        </is>
      </c>
      <c r="C199" s="8" t="inlineStr">
        <is>
          <t>set</t>
        </is>
      </c>
      <c r="D199" s="10" t="n">
        <v>1</v>
      </c>
      <c r="E199" s="11" t="n">
        <v>8800</v>
      </c>
      <c r="F199" s="12">
        <f>IF(AND(D199&lt;&gt;"",E199&lt;&gt;""),D199*E199,"")</f>
        <v/>
      </c>
      <c r="G199" s="13" t="n"/>
      <c r="H199" s="13" t="n">
        <v>100</v>
      </c>
      <c r="I199" s="14" t="inlineStr">
        <is>
          <t>II- Machinery and Equipment</t>
        </is>
      </c>
      <c r="J199" s="9" t="inlineStr"/>
    </row>
    <row r="200">
      <c r="A200" s="8">
        <f>IF(AND(ISBLANK(B200),ISBLANK(C200),ISBLANK(D200),ISBLANK(E200),ISBLANK(G200),ISBLANK(H200),ISBLANK(J200)),"",ROW()-6)</f>
        <v/>
      </c>
      <c r="B200" s="9" t="inlineStr">
        <is>
          <t>Faucet</t>
        </is>
      </c>
      <c r="C200" s="8" t="inlineStr">
        <is>
          <t>pcs</t>
        </is>
      </c>
      <c r="D200" s="10" t="n">
        <v>120</v>
      </c>
      <c r="E200" s="11" t="n">
        <v>1.2</v>
      </c>
      <c r="F200" s="12">
        <f>IF(AND(D200&lt;&gt;"",E200&lt;&gt;""),D200*E200,"")</f>
        <v/>
      </c>
      <c r="G200" s="13" t="n"/>
      <c r="H200" s="13" t="n">
        <v>100</v>
      </c>
      <c r="I200" s="14" t="inlineStr">
        <is>
          <t>II- Machinery and Equipment</t>
        </is>
      </c>
      <c r="J200" s="9" t="inlineStr"/>
    </row>
    <row r="201">
      <c r="A201" s="8">
        <f>IF(AND(ISBLANK(B201),ISBLANK(C201),ISBLANK(D201),ISBLANK(E201),ISBLANK(G201),ISBLANK(H201),ISBLANK(J201)),"",ROW()-6)</f>
        <v/>
      </c>
      <c r="B201" s="9" t="inlineStr">
        <is>
          <t>Fire Box</t>
        </is>
      </c>
      <c r="C201" s="8" t="inlineStr">
        <is>
          <t>pcs</t>
        </is>
      </c>
      <c r="D201" s="10" t="n">
        <v>36</v>
      </c>
      <c r="E201" s="11" t="n">
        <v>18</v>
      </c>
      <c r="F201" s="12">
        <f>IF(AND(D201&lt;&gt;"",E201&lt;&gt;""),D201*E201,"")</f>
        <v/>
      </c>
      <c r="G201" s="13" t="n"/>
      <c r="H201" s="13" t="n">
        <v>100</v>
      </c>
      <c r="I201" s="14" t="inlineStr">
        <is>
          <t>II- Machinery and Equipment</t>
        </is>
      </c>
      <c r="J201" s="9" t="inlineStr"/>
    </row>
    <row r="202">
      <c r="A202" s="8">
        <f>IF(AND(ISBLANK(B202),ISBLANK(C202),ISBLANK(D202),ISBLANK(E202),ISBLANK(G202),ISBLANK(H202),ISBLANK(J202)),"",ROW()-6)</f>
        <v/>
      </c>
      <c r="B202" s="9" t="inlineStr">
        <is>
          <t>Fire Control Cabinet</t>
        </is>
      </c>
      <c r="C202" s="8" t="inlineStr">
        <is>
          <t>set</t>
        </is>
      </c>
      <c r="D202" s="10" t="n">
        <v>1</v>
      </c>
      <c r="E202" s="11" t="n">
        <v>500</v>
      </c>
      <c r="F202" s="12">
        <f>IF(AND(D202&lt;&gt;"",E202&lt;&gt;""),D202*E202,"")</f>
        <v/>
      </c>
      <c r="G202" s="13" t="n"/>
      <c r="H202" s="13" t="n">
        <v>100</v>
      </c>
      <c r="I202" s="14" t="inlineStr">
        <is>
          <t>II- Machinery and Equipment</t>
        </is>
      </c>
      <c r="J202" s="9" t="inlineStr"/>
    </row>
    <row r="203">
      <c r="A203" s="8">
        <f>IF(AND(ISBLANK(B203),ISBLANK(C203),ISBLANK(D203),ISBLANK(E203),ISBLANK(G203),ISBLANK(H203),ISBLANK(J203)),"",ROW()-6)</f>
        <v/>
      </c>
      <c r="B203" s="9" t="inlineStr">
        <is>
          <t>Fire Extinguisher Set</t>
        </is>
      </c>
      <c r="C203" s="8" t="inlineStr">
        <is>
          <t>pcs</t>
        </is>
      </c>
      <c r="D203" s="10" t="n">
        <v>60</v>
      </c>
      <c r="E203" s="11" t="n">
        <v>9</v>
      </c>
      <c r="F203" s="12">
        <f>IF(AND(D203&lt;&gt;"",E203&lt;&gt;""),D203*E203,"")</f>
        <v/>
      </c>
      <c r="G203" s="13" t="n"/>
      <c r="H203" s="13" t="n">
        <v>100</v>
      </c>
      <c r="I203" s="14" t="inlineStr">
        <is>
          <t>II- Machinery and Equipment</t>
        </is>
      </c>
      <c r="J203" s="9" t="inlineStr"/>
    </row>
    <row r="204">
      <c r="A204" s="8">
        <f>IF(AND(ISBLANK(B204),ISBLANK(C204),ISBLANK(D204),ISBLANK(E204),ISBLANK(G204),ISBLANK(H204),ISBLANK(J204)),"",ROW()-6)</f>
        <v/>
      </c>
      <c r="B204" s="9" t="inlineStr">
        <is>
          <t>Fire Hydrant</t>
        </is>
      </c>
      <c r="C204" s="8" t="inlineStr">
        <is>
          <t>pcs</t>
        </is>
      </c>
      <c r="D204" s="10" t="n">
        <v>30</v>
      </c>
      <c r="E204" s="11" t="n">
        <v>55</v>
      </c>
      <c r="F204" s="12">
        <f>IF(AND(D204&lt;&gt;"",E204&lt;&gt;""),D204*E204,"")</f>
        <v/>
      </c>
      <c r="G204" s="13" t="n"/>
      <c r="H204" s="13" t="n">
        <v>100</v>
      </c>
      <c r="I204" s="14" t="inlineStr">
        <is>
          <t>II- Machinery and Equipment</t>
        </is>
      </c>
      <c r="J204" s="9" t="inlineStr"/>
    </row>
    <row r="205">
      <c r="A205" s="8">
        <f>IF(AND(ISBLANK(B205),ISBLANK(C205),ISBLANK(D205),ISBLANK(E205),ISBLANK(G205),ISBLANK(H205),ISBLANK(J205)),"",ROW()-6)</f>
        <v/>
      </c>
      <c r="B205" s="9" t="inlineStr">
        <is>
          <t>Fire Pipe Fittings</t>
        </is>
      </c>
      <c r="C205" s="8" t="inlineStr">
        <is>
          <t>set</t>
        </is>
      </c>
      <c r="D205" s="10" t="n">
        <v>380</v>
      </c>
      <c r="E205" s="11" t="n">
        <v>3.6</v>
      </c>
      <c r="F205" s="12">
        <f>IF(AND(D205&lt;&gt;"",E205&lt;&gt;""),D205*E205,"")</f>
        <v/>
      </c>
      <c r="G205" s="13" t="n"/>
      <c r="H205" s="13" t="n">
        <v>100</v>
      </c>
      <c r="I205" s="14" t="inlineStr">
        <is>
          <t>II- Machinery and Equipment</t>
        </is>
      </c>
      <c r="J205" s="9" t="inlineStr"/>
    </row>
    <row r="206">
      <c r="A206" s="8">
        <f>IF(AND(ISBLANK(B206),ISBLANK(C206),ISBLANK(D206),ISBLANK(E206),ISBLANK(G206),ISBLANK(H206),ISBLANK(J206)),"",ROW()-6)</f>
        <v/>
      </c>
      <c r="B206" s="9" t="inlineStr">
        <is>
          <t>Fire Pump</t>
        </is>
      </c>
      <c r="C206" s="8" t="inlineStr">
        <is>
          <t>set</t>
        </is>
      </c>
      <c r="D206" s="10" t="n">
        <v>3</v>
      </c>
      <c r="E206" s="11" t="n">
        <v>1200</v>
      </c>
      <c r="F206" s="12">
        <f>IF(AND(D206&lt;&gt;"",E206&lt;&gt;""),D206*E206,"")</f>
        <v/>
      </c>
      <c r="G206" s="13" t="n"/>
      <c r="H206" s="13" t="n">
        <v>100</v>
      </c>
      <c r="I206" s="14" t="inlineStr">
        <is>
          <t>II- Machinery and Equipment</t>
        </is>
      </c>
      <c r="J206" s="9" t="inlineStr"/>
    </row>
    <row r="207">
      <c r="A207" s="8">
        <f>IF(AND(ISBLANK(B207),ISBLANK(C207),ISBLANK(D207),ISBLANK(E207),ISBLANK(G207),ISBLANK(H207),ISBLANK(J207)),"",ROW()-6)</f>
        <v/>
      </c>
      <c r="B207" s="9" t="inlineStr">
        <is>
          <t>Flange</t>
        </is>
      </c>
      <c r="C207" s="8" t="inlineStr">
        <is>
          <t>kg</t>
        </is>
      </c>
      <c r="D207" s="10" t="n">
        <v>7000</v>
      </c>
      <c r="E207" s="11" t="n">
        <v>0.9</v>
      </c>
      <c r="F207" s="12">
        <f>IF(AND(D207&lt;&gt;"",E207&lt;&gt;""),D207*E207,"")</f>
        <v/>
      </c>
      <c r="G207" s="13" t="n"/>
      <c r="H207" s="13" t="n">
        <v>100</v>
      </c>
      <c r="I207" s="14" t="inlineStr">
        <is>
          <t>II- Machinery and Equipment</t>
        </is>
      </c>
      <c r="J207" s="9" t="inlineStr"/>
    </row>
    <row r="208">
      <c r="A208" s="8">
        <f>IF(AND(ISBLANK(B208),ISBLANK(C208),ISBLANK(D208),ISBLANK(E208),ISBLANK(G208),ISBLANK(H208),ISBLANK(J208)),"",ROW()-6)</f>
        <v/>
      </c>
      <c r="B208" s="9" t="inlineStr">
        <is>
          <t>Flat Steel</t>
        </is>
      </c>
      <c r="C208" s="8" t="inlineStr">
        <is>
          <t>kg</t>
        </is>
      </c>
      <c r="D208" s="10" t="n">
        <v>6000</v>
      </c>
      <c r="E208" s="11" t="n">
        <v>0.65</v>
      </c>
      <c r="F208" s="12">
        <f>IF(AND(D208&lt;&gt;"",E208&lt;&gt;""),D208*E208,"")</f>
        <v/>
      </c>
      <c r="G208" s="13" t="n"/>
      <c r="H208" s="13" t="n">
        <v>100</v>
      </c>
      <c r="I208" s="14" t="inlineStr">
        <is>
          <t>II- Machinery and Equipment</t>
        </is>
      </c>
      <c r="J208" s="9" t="inlineStr"/>
    </row>
    <row r="209">
      <c r="A209" s="8">
        <f>IF(AND(ISBLANK(B209),ISBLANK(C209),ISBLANK(D209),ISBLANK(E209),ISBLANK(G209),ISBLANK(H209),ISBLANK(J209)),"",ROW()-6)</f>
        <v/>
      </c>
      <c r="B209" s="9" t="inlineStr">
        <is>
          <t>Floor Drain</t>
        </is>
      </c>
      <c r="C209" s="8" t="inlineStr">
        <is>
          <t>pcs</t>
        </is>
      </c>
      <c r="D209" s="10" t="n">
        <v>90</v>
      </c>
      <c r="E209" s="11" t="n">
        <v>1.5</v>
      </c>
      <c r="F209" s="12">
        <f>IF(AND(D209&lt;&gt;"",E209&lt;&gt;""),D209*E209,"")</f>
        <v/>
      </c>
      <c r="G209" s="13" t="n"/>
      <c r="H209" s="13" t="n">
        <v>100</v>
      </c>
      <c r="I209" s="14" t="inlineStr">
        <is>
          <t>II- Machinery and Equipment</t>
        </is>
      </c>
      <c r="J209" s="9" t="inlineStr"/>
    </row>
    <row r="210">
      <c r="A210" s="8">
        <f>IF(AND(ISBLANK(B210),ISBLANK(C210),ISBLANK(D210),ISBLANK(E210),ISBLANK(G210),ISBLANK(H210),ISBLANK(J210)),"",ROW()-6)</f>
        <v/>
      </c>
      <c r="B210" s="9" t="inlineStr">
        <is>
          <t>Floor Slab</t>
        </is>
      </c>
      <c r="C210" s="8" t="inlineStr">
        <is>
          <t>m</t>
        </is>
      </c>
      <c r="D210" s="10" t="n">
        <v>1000</v>
      </c>
      <c r="E210" s="11" t="n">
        <v>7.2</v>
      </c>
      <c r="F210" s="12">
        <f>IF(AND(D210&lt;&gt;"",E210&lt;&gt;""),D210*E210,"")</f>
        <v/>
      </c>
      <c r="G210" s="13" t="n"/>
      <c r="H210" s="13" t="n">
        <v>100</v>
      </c>
      <c r="I210" s="14" t="inlineStr">
        <is>
          <t>II- Machinery and Equipment</t>
        </is>
      </c>
      <c r="J210" s="9" t="inlineStr"/>
    </row>
    <row r="211">
      <c r="A211" s="8">
        <f>IF(AND(ISBLANK(B211),ISBLANK(C211),ISBLANK(D211),ISBLANK(E211),ISBLANK(G211),ISBLANK(H211),ISBLANK(J211)),"",ROW()-6)</f>
        <v/>
      </c>
      <c r="B211" s="9" t="inlineStr">
        <is>
          <t>Floor Tile</t>
        </is>
      </c>
      <c r="C211" s="8" t="inlineStr">
        <is>
          <t>ctn</t>
        </is>
      </c>
      <c r="D211" s="10" t="n">
        <v>500</v>
      </c>
      <c r="E211" s="11" t="n">
        <v>7.5</v>
      </c>
      <c r="F211" s="12">
        <f>IF(AND(D211&lt;&gt;"",E211&lt;&gt;""),D211*E211,"")</f>
        <v/>
      </c>
      <c r="G211" s="13" t="n"/>
      <c r="H211" s="13" t="n">
        <v>100</v>
      </c>
      <c r="I211" s="14" t="inlineStr">
        <is>
          <t>II- Machinery and Equipment</t>
        </is>
      </c>
      <c r="J211" s="9" t="inlineStr"/>
    </row>
    <row r="212">
      <c r="A212" s="8">
        <f>IF(AND(ISBLANK(B212),ISBLANK(C212),ISBLANK(D212),ISBLANK(E212),ISBLANK(G212),ISBLANK(H212),ISBLANK(J212)),"",ROW()-6)</f>
        <v/>
      </c>
      <c r="B212" s="9" t="inlineStr">
        <is>
          <t>Fresh Keeping Cabinet</t>
        </is>
      </c>
      <c r="C212" s="8" t="inlineStr">
        <is>
          <t>pcs</t>
        </is>
      </c>
      <c r="D212" s="10" t="n">
        <v>1</v>
      </c>
      <c r="E212" s="11" t="n">
        <v>350</v>
      </c>
      <c r="F212" s="12">
        <f>IF(AND(D212&lt;&gt;"",E212&lt;&gt;""),D212*E212,"")</f>
        <v/>
      </c>
      <c r="G212" s="13" t="n"/>
      <c r="H212" s="13" t="n">
        <v>100</v>
      </c>
      <c r="I212" s="14" t="inlineStr">
        <is>
          <t>II- Machinery and Equipment</t>
        </is>
      </c>
      <c r="J212" s="9" t="inlineStr"/>
    </row>
    <row r="213">
      <c r="A213" s="8">
        <f>IF(AND(ISBLANK(B213),ISBLANK(C213),ISBLANK(D213),ISBLANK(E213),ISBLANK(G213),ISBLANK(H213),ISBLANK(J213)),"",ROW()-6)</f>
        <v/>
      </c>
      <c r="B213" s="9" t="inlineStr">
        <is>
          <t>Gables Edge L50*3 Angle Iron</t>
        </is>
      </c>
      <c r="C213" s="8" t="inlineStr">
        <is>
          <t>kg</t>
        </is>
      </c>
      <c r="D213" s="10" t="n">
        <v>11220</v>
      </c>
      <c r="E213" s="11" t="n">
        <v>0.65</v>
      </c>
      <c r="F213" s="12">
        <f>IF(AND(D213&lt;&gt;"",E213&lt;&gt;""),D213*E213,"")</f>
        <v/>
      </c>
      <c r="G213" s="13" t="n"/>
      <c r="H213" s="13" t="n">
        <v>100</v>
      </c>
      <c r="I213" s="14" t="inlineStr">
        <is>
          <t>II- Machinery and Equipment</t>
        </is>
      </c>
      <c r="J213" s="9" t="inlineStr"/>
    </row>
    <row r="214">
      <c r="A214" s="8">
        <f>IF(AND(ISBLANK(B214),ISBLANK(C214),ISBLANK(D214),ISBLANK(E214),ISBLANK(G214),ISBLANK(H214),ISBLANK(J214)),"",ROW()-6)</f>
        <v/>
      </c>
      <c r="B214" s="9" t="inlineStr">
        <is>
          <t>Galvanized Pipe for Fire Protection</t>
        </is>
      </c>
      <c r="C214" s="8" t="inlineStr">
        <is>
          <t>kg</t>
        </is>
      </c>
      <c r="D214" s="10" t="n">
        <v>13000</v>
      </c>
      <c r="E214" s="11" t="n">
        <v>0.72</v>
      </c>
      <c r="F214" s="12">
        <f>IF(AND(D214&lt;&gt;"",E214&lt;&gt;""),D214*E214,"")</f>
        <v/>
      </c>
      <c r="G214" s="13" t="n"/>
      <c r="H214" s="13" t="n">
        <v>100</v>
      </c>
      <c r="I214" s="14" t="inlineStr">
        <is>
          <t>II- Machinery and Equipment</t>
        </is>
      </c>
      <c r="J214" s="9" t="inlineStr"/>
    </row>
    <row r="215">
      <c r="A215" s="8">
        <f>IF(AND(ISBLANK(B215),ISBLANK(C215),ISBLANK(D215),ISBLANK(E215),ISBLANK(G215),ISBLANK(H215),ISBLANK(J215)),"",ROW()-6)</f>
        <v/>
      </c>
      <c r="B215" s="9" t="inlineStr">
        <is>
          <t>Ganglia</t>
        </is>
      </c>
      <c r="C215" s="8" t="inlineStr">
        <is>
          <t>kg</t>
        </is>
      </c>
      <c r="D215" s="10" t="n">
        <v>3000</v>
      </c>
      <c r="E215" s="11" t="n">
        <v>0.9</v>
      </c>
      <c r="F215" s="12">
        <f>IF(AND(D215&lt;&gt;"",E215&lt;&gt;""),D215*E215,"")</f>
        <v/>
      </c>
      <c r="G215" s="13" t="n"/>
      <c r="H215" s="13" t="n">
        <v>100</v>
      </c>
      <c r="I215" s="14" t="inlineStr">
        <is>
          <t>II- Machinery and Equipment</t>
        </is>
      </c>
      <c r="J215" s="9" t="inlineStr"/>
    </row>
    <row r="216">
      <c r="A216" s="8">
        <f>IF(AND(ISBLANK(B216),ISBLANK(C216),ISBLANK(D216),ISBLANK(E216),ISBLANK(G216),ISBLANK(H216),ISBLANK(J216)),"",ROW()-6)</f>
        <v/>
      </c>
      <c r="B216" s="9" t="inlineStr">
        <is>
          <t>Glass (Various Sizes)</t>
        </is>
      </c>
      <c r="C216" s="8" t="inlineStr">
        <is>
          <t>pcs</t>
        </is>
      </c>
      <c r="D216" s="10" t="n">
        <v>200</v>
      </c>
      <c r="E216" s="11" t="n">
        <v>3</v>
      </c>
      <c r="F216" s="12">
        <f>IF(AND(D216&lt;&gt;"",E216&lt;&gt;""),D216*E216,"")</f>
        <v/>
      </c>
      <c r="G216" s="13" t="n"/>
      <c r="H216" s="13" t="n">
        <v>100</v>
      </c>
      <c r="I216" s="14" t="inlineStr">
        <is>
          <t>II- Machinery and Equipment</t>
        </is>
      </c>
      <c r="J216" s="9" t="inlineStr"/>
    </row>
    <row r="217">
      <c r="A217" s="8">
        <f>IF(AND(ISBLANK(B217),ISBLANK(C217),ISBLANK(D217),ISBLANK(E217),ISBLANK(G217),ISBLANK(H217),ISBLANK(J217)),"",ROW()-6)</f>
        <v/>
      </c>
      <c r="B217" s="9" t="inlineStr">
        <is>
          <t>Gutter Transition Joint</t>
        </is>
      </c>
      <c r="C217" s="8" t="inlineStr">
        <is>
          <t>kg</t>
        </is>
      </c>
      <c r="D217" s="10" t="n">
        <v>3000</v>
      </c>
      <c r="E217" s="11" t="n">
        <v>0.02</v>
      </c>
      <c r="F217" s="12">
        <f>IF(AND(D217&lt;&gt;"",E217&lt;&gt;""),D217*E217,"")</f>
        <v/>
      </c>
      <c r="G217" s="13" t="n"/>
      <c r="H217" s="13" t="n">
        <v>100</v>
      </c>
      <c r="I217" s="14" t="inlineStr">
        <is>
          <t>II- Machinery and Equipment</t>
        </is>
      </c>
      <c r="J217" s="9" t="inlineStr"/>
    </row>
    <row r="218">
      <c r="A218" s="8">
        <f>IF(AND(ISBLANK(B218),ISBLANK(C218),ISBLANK(D218),ISBLANK(E218),ISBLANK(G218),ISBLANK(H218),ISBLANK(J218)),"",ROW()-6)</f>
        <v/>
      </c>
      <c r="B218" s="9" t="inlineStr">
        <is>
          <t>Hammer</t>
        </is>
      </c>
      <c r="C218" s="8" t="inlineStr">
        <is>
          <t>pcs</t>
        </is>
      </c>
      <c r="D218" s="10" t="n">
        <v>20</v>
      </c>
      <c r="E218" s="11" t="n">
        <v>5</v>
      </c>
      <c r="F218" s="12">
        <f>IF(AND(D218&lt;&gt;"",E218&lt;&gt;""),D218*E218,"")</f>
        <v/>
      </c>
      <c r="G218" s="13" t="n"/>
      <c r="H218" s="13" t="n">
        <v>100</v>
      </c>
      <c r="I218" s="14" t="inlineStr">
        <is>
          <t>II- Machinery and Equipment</t>
        </is>
      </c>
      <c r="J218" s="9" t="inlineStr"/>
    </row>
    <row r="219">
      <c r="A219" s="8">
        <f>IF(AND(ISBLANK(B219),ISBLANK(C219),ISBLANK(D219),ISBLANK(E219),ISBLANK(G219),ISBLANK(H219),ISBLANK(J219)),"",ROW()-6)</f>
        <v/>
      </c>
      <c r="B219" s="9" t="inlineStr">
        <is>
          <t>Hardware Cloth</t>
        </is>
      </c>
      <c r="C219" s="8" t="inlineStr">
        <is>
          <t>kg</t>
        </is>
      </c>
      <c r="D219" s="10" t="n">
        <v>6000</v>
      </c>
      <c r="E219" s="11" t="n">
        <v>0.35</v>
      </c>
      <c r="F219" s="12">
        <f>IF(AND(D219&lt;&gt;"",E219&lt;&gt;""),D219*E219,"")</f>
        <v/>
      </c>
      <c r="G219" s="13" t="n"/>
      <c r="H219" s="13" t="n">
        <v>100</v>
      </c>
      <c r="I219" s="14" t="inlineStr">
        <is>
          <t>II- Machinery and Equipment</t>
        </is>
      </c>
      <c r="J219" s="9" t="inlineStr"/>
    </row>
    <row r="220">
      <c r="A220" s="8">
        <f>IF(AND(ISBLANK(B220),ISBLANK(C220),ISBLANK(D220),ISBLANK(E220),ISBLANK(G220),ISBLANK(H220),ISBLANK(J220)),"",ROW()-6)</f>
        <v/>
      </c>
      <c r="B220" s="9" t="inlineStr">
        <is>
          <t>HD Monitoring</t>
        </is>
      </c>
      <c r="C220" s="8" t="inlineStr">
        <is>
          <t>set</t>
        </is>
      </c>
      <c r="D220" s="10" t="n">
        <v>1</v>
      </c>
      <c r="E220" s="11" t="n">
        <v>14000</v>
      </c>
      <c r="F220" s="12">
        <f>IF(AND(D220&lt;&gt;"",E220&lt;&gt;""),D220*E220,"")</f>
        <v/>
      </c>
      <c r="G220" s="13" t="n"/>
      <c r="H220" s="13" t="n">
        <v>100</v>
      </c>
      <c r="I220" s="14" t="inlineStr">
        <is>
          <t>II- Machinery and Equipment</t>
        </is>
      </c>
      <c r="J220" s="9" t="inlineStr"/>
    </row>
    <row r="221">
      <c r="A221" s="8">
        <f>IF(AND(ISBLANK(B221),ISBLANK(C221),ISBLANK(D221),ISBLANK(E221),ISBLANK(G221),ISBLANK(H221),ISBLANK(J221)),"",ROW()-6)</f>
        <v/>
      </c>
      <c r="B221" s="9" t="inlineStr">
        <is>
          <t>High Pressure Water Gun</t>
        </is>
      </c>
      <c r="C221" s="8" t="inlineStr">
        <is>
          <t>set</t>
        </is>
      </c>
      <c r="D221" s="10" t="n">
        <v>1</v>
      </c>
      <c r="E221" s="11" t="n">
        <v>100</v>
      </c>
      <c r="F221" s="12">
        <f>IF(AND(D221&lt;&gt;"",E221&lt;&gt;""),D221*E221,"")</f>
        <v/>
      </c>
      <c r="G221" s="13" t="n"/>
      <c r="H221" s="13" t="n">
        <v>100</v>
      </c>
      <c r="I221" s="14" t="inlineStr">
        <is>
          <t>II- Machinery and Equipment</t>
        </is>
      </c>
      <c r="J221" s="9" t="inlineStr"/>
    </row>
    <row r="222">
      <c r="A222" s="8">
        <f>IF(AND(ISBLANK(B222),ISBLANK(C222),ISBLANK(D222),ISBLANK(E222),ISBLANK(G222),ISBLANK(H222),ISBLANK(J222)),"",ROW()-6)</f>
        <v/>
      </c>
      <c r="B222" s="9" t="inlineStr">
        <is>
          <t>Hood</t>
        </is>
      </c>
      <c r="C222" s="8" t="inlineStr">
        <is>
          <t>set</t>
        </is>
      </c>
      <c r="D222" s="10" t="n">
        <v>1</v>
      </c>
      <c r="E222" s="11" t="n">
        <v>200</v>
      </c>
      <c r="F222" s="12">
        <f>IF(AND(D222&lt;&gt;"",E222&lt;&gt;""),D222*E222,"")</f>
        <v/>
      </c>
      <c r="G222" s="13" t="n"/>
      <c r="H222" s="13" t="n">
        <v>100</v>
      </c>
      <c r="I222" s="14" t="inlineStr">
        <is>
          <t>II- Machinery and Equipment</t>
        </is>
      </c>
      <c r="J222" s="9" t="inlineStr"/>
    </row>
    <row r="223">
      <c r="A223" s="8">
        <f>IF(AND(ISBLANK(B223),ISBLANK(C223),ISBLANK(D223),ISBLANK(E223),ISBLANK(G223),ISBLANK(H223),ISBLANK(J223)),"",ROW()-6)</f>
        <v/>
      </c>
      <c r="B223" s="9" t="inlineStr">
        <is>
          <t>Horizontal Support ∅18 Steel Bar</t>
        </is>
      </c>
      <c r="C223" s="8" t="inlineStr">
        <is>
          <t>kg</t>
        </is>
      </c>
      <c r="D223" s="10" t="n">
        <v>2300</v>
      </c>
      <c r="E223" s="11" t="n">
        <v>0.8</v>
      </c>
      <c r="F223" s="12">
        <f>IF(AND(D223&lt;&gt;"",E223&lt;&gt;""),D223*E223,"")</f>
        <v/>
      </c>
      <c r="G223" s="13" t="n"/>
      <c r="H223" s="13" t="n">
        <v>100</v>
      </c>
      <c r="I223" s="14" t="inlineStr">
        <is>
          <t>II- Machinery and Equipment</t>
        </is>
      </c>
      <c r="J223" s="9" t="inlineStr"/>
    </row>
    <row r="224">
      <c r="A224" s="8">
        <f>IF(AND(ISBLANK(B224),ISBLANK(C224),ISBLANK(D224),ISBLANK(E224),ISBLANK(G224),ISBLANK(H224),ISBLANK(J224)),"",ROW()-6)</f>
        <v/>
      </c>
      <c r="B224" s="9" t="inlineStr">
        <is>
          <t>Hose</t>
        </is>
      </c>
      <c r="C224" s="8" t="inlineStr">
        <is>
          <t>m</t>
        </is>
      </c>
      <c r="D224" s="10" t="n">
        <v>100</v>
      </c>
      <c r="E224" s="11" t="n">
        <v>1.5</v>
      </c>
      <c r="F224" s="12">
        <f>IF(AND(D224&lt;&gt;"",E224&lt;&gt;""),D224*E224,"")</f>
        <v/>
      </c>
      <c r="G224" s="13" t="n"/>
      <c r="H224" s="13" t="n">
        <v>100</v>
      </c>
      <c r="I224" s="14" t="inlineStr">
        <is>
          <t>II- Machinery and Equipment</t>
        </is>
      </c>
      <c r="J224" s="9" t="inlineStr"/>
    </row>
    <row r="225">
      <c r="A225" s="8">
        <f>IF(AND(ISBLANK(B225),ISBLANK(C225),ISBLANK(D225),ISBLANK(E225),ISBLANK(G225),ISBLANK(H225),ISBLANK(J225)),"",ROW()-6)</f>
        <v/>
      </c>
      <c r="B225" s="9" t="inlineStr">
        <is>
          <t>Illumination Lamps and Lanterns</t>
        </is>
      </c>
      <c r="C225" s="8" t="inlineStr">
        <is>
          <t>pcs</t>
        </is>
      </c>
      <c r="D225" s="10" t="n">
        <v>240</v>
      </c>
      <c r="E225" s="11" t="n">
        <v>10</v>
      </c>
      <c r="F225" s="12">
        <f>IF(AND(D225&lt;&gt;"",E225&lt;&gt;""),D225*E225,"")</f>
        <v/>
      </c>
      <c r="G225" s="13" t="n"/>
      <c r="H225" s="13" t="n">
        <v>100</v>
      </c>
      <c r="I225" s="14" t="inlineStr">
        <is>
          <t>II- Machinery and Equipment</t>
        </is>
      </c>
      <c r="J225" s="9" t="inlineStr"/>
    </row>
    <row r="226">
      <c r="A226" s="8">
        <f>IF(AND(ISBLANK(B226),ISBLANK(C226),ISBLANK(D226),ISBLANK(E226),ISBLANK(G226),ISBLANK(H226),ISBLANK(J226)),"",ROW()-6)</f>
        <v/>
      </c>
      <c r="B226" s="9" t="inlineStr">
        <is>
          <t>Indicator Light</t>
        </is>
      </c>
      <c r="C226" s="8" t="inlineStr">
        <is>
          <t>pcs</t>
        </is>
      </c>
      <c r="D226" s="10" t="n">
        <v>24</v>
      </c>
      <c r="E226" s="11" t="n">
        <v>25</v>
      </c>
      <c r="F226" s="12">
        <f>IF(AND(D226&lt;&gt;"",E226&lt;&gt;""),D226*E226,"")</f>
        <v/>
      </c>
      <c r="G226" s="13" t="n"/>
      <c r="H226" s="13" t="n">
        <v>100</v>
      </c>
      <c r="I226" s="14" t="inlineStr">
        <is>
          <t>II- Machinery and Equipment</t>
        </is>
      </c>
      <c r="J226" s="9" t="inlineStr"/>
    </row>
    <row r="227">
      <c r="A227" s="8">
        <f>IF(AND(ISBLANK(B227),ISBLANK(C227),ISBLANK(D227),ISBLANK(E227),ISBLANK(G227),ISBLANK(H227),ISBLANK(J227)),"",ROW()-6)</f>
        <v/>
      </c>
      <c r="B227" s="9" t="inlineStr">
        <is>
          <t>Insert Bolt</t>
        </is>
      </c>
      <c r="C227" s="8" t="inlineStr">
        <is>
          <t>kg</t>
        </is>
      </c>
      <c r="D227" s="10" t="n">
        <v>2600</v>
      </c>
      <c r="E227" s="11" t="n">
        <v>0.86</v>
      </c>
      <c r="F227" s="12">
        <f>IF(AND(D227&lt;&gt;"",E227&lt;&gt;""),D227*E227,"")</f>
        <v/>
      </c>
      <c r="G227" s="13" t="n"/>
      <c r="H227" s="13" t="n">
        <v>100</v>
      </c>
      <c r="I227" s="14" t="inlineStr">
        <is>
          <t>II- Machinery and Equipment</t>
        </is>
      </c>
      <c r="J227" s="9" t="inlineStr"/>
    </row>
    <row r="228">
      <c r="A228" s="8">
        <f>IF(AND(ISBLANK(B228),ISBLANK(C228),ISBLANK(D228),ISBLANK(E228),ISBLANK(G228),ISBLANK(H228),ISBLANK(J228)),"",ROW()-6)</f>
        <v/>
      </c>
      <c r="B228" s="9" t="inlineStr">
        <is>
          <t>Inter Column Support ∅18 Steel Bar</t>
        </is>
      </c>
      <c r="C228" s="8" t="inlineStr">
        <is>
          <t>kg</t>
        </is>
      </c>
      <c r="D228" s="10" t="n">
        <v>700</v>
      </c>
      <c r="E228" s="11" t="n">
        <v>0.8</v>
      </c>
      <c r="F228" s="12">
        <f>IF(AND(D228&lt;&gt;"",E228&lt;&gt;""),D228*E228,"")</f>
        <v/>
      </c>
      <c r="G228" s="13" t="n"/>
      <c r="H228" s="13" t="n">
        <v>100</v>
      </c>
      <c r="I228" s="14" t="inlineStr">
        <is>
          <t>II- Machinery and Equipment</t>
        </is>
      </c>
      <c r="J228" s="9" t="inlineStr"/>
    </row>
    <row r="229">
      <c r="A229" s="8">
        <f>IF(AND(ISBLANK(B229),ISBLANK(C229),ISBLANK(D229),ISBLANK(E229),ISBLANK(G229),ISBLANK(H229),ISBLANK(J229)),"",ROW()-6)</f>
        <v/>
      </c>
      <c r="B229" s="9" t="inlineStr">
        <is>
          <t>Iron Bracket</t>
        </is>
      </c>
      <c r="C229" s="8" t="inlineStr">
        <is>
          <t>pcs</t>
        </is>
      </c>
      <c r="D229" s="10" t="n">
        <v>11</v>
      </c>
      <c r="E229" s="11" t="n">
        <v>930</v>
      </c>
      <c r="F229" s="12">
        <f>IF(AND(D229&lt;&gt;"",E229&lt;&gt;""),D229*E229,"")</f>
        <v/>
      </c>
      <c r="G229" s="13" t="n"/>
      <c r="H229" s="13" t="n">
        <v>100</v>
      </c>
      <c r="I229" s="14" t="inlineStr">
        <is>
          <t>II- Machinery and Equipment</t>
        </is>
      </c>
      <c r="J229" s="9" t="inlineStr"/>
    </row>
    <row r="230">
      <c r="A230" s="8">
        <f>IF(AND(ISBLANK(B230),ISBLANK(C230),ISBLANK(D230),ISBLANK(E230),ISBLANK(G230),ISBLANK(H230),ISBLANK(J230)),"",ROW()-6)</f>
        <v/>
      </c>
      <c r="B230" s="9" t="inlineStr">
        <is>
          <t>LED Display Screen Information Release</t>
        </is>
      </c>
      <c r="C230" s="8" t="inlineStr">
        <is>
          <t>set</t>
        </is>
      </c>
      <c r="D230" s="10" t="n">
        <v>1</v>
      </c>
      <c r="E230" s="11" t="n">
        <v>9000</v>
      </c>
      <c r="F230" s="12">
        <f>IF(AND(D230&lt;&gt;"",E230&lt;&gt;""),D230*E230,"")</f>
        <v/>
      </c>
      <c r="G230" s="13" t="n"/>
      <c r="H230" s="13" t="n">
        <v>100</v>
      </c>
      <c r="I230" s="14" t="inlineStr">
        <is>
          <t>II- Machinery and Equipment</t>
        </is>
      </c>
      <c r="J230" s="9" t="inlineStr"/>
    </row>
    <row r="231">
      <c r="A231" s="8">
        <f>IF(AND(ISBLANK(B231),ISBLANK(C231),ISBLANK(D231),ISBLANK(E231),ISBLANK(G231),ISBLANK(H231),ISBLANK(J231)),"",ROW()-6)</f>
        <v/>
      </c>
      <c r="B231" s="9" t="inlineStr">
        <is>
          <t>Lighting Electric Box</t>
        </is>
      </c>
      <c r="C231" s="8" t="inlineStr">
        <is>
          <t>set</t>
        </is>
      </c>
      <c r="D231" s="10" t="n">
        <v>3</v>
      </c>
      <c r="E231" s="11" t="n">
        <v>1150</v>
      </c>
      <c r="F231" s="12">
        <f>IF(AND(D231&lt;&gt;"",E231&lt;&gt;""),D231*E231,"")</f>
        <v/>
      </c>
      <c r="G231" s="13" t="n"/>
      <c r="H231" s="13" t="n">
        <v>100</v>
      </c>
      <c r="I231" s="14" t="inlineStr">
        <is>
          <t>II- Machinery and Equipment</t>
        </is>
      </c>
      <c r="J231" s="9" t="inlineStr"/>
    </row>
    <row r="232">
      <c r="A232" s="8">
        <f>IF(AND(ISBLANK(B232),ISBLANK(C232),ISBLANK(D232),ISBLANK(E232),ISBLANK(G232),ISBLANK(H232),ISBLANK(J232)),"",ROW()-6)</f>
        <v/>
      </c>
      <c r="B232" s="9" t="inlineStr">
        <is>
          <t>Lighting Electric Cabinet</t>
        </is>
      </c>
      <c r="C232" s="8" t="inlineStr">
        <is>
          <t>set</t>
        </is>
      </c>
      <c r="D232" s="10" t="n">
        <v>12</v>
      </c>
      <c r="E232" s="11" t="n">
        <v>570</v>
      </c>
      <c r="F232" s="12">
        <f>IF(AND(D232&lt;&gt;"",E232&lt;&gt;""),D232*E232,"")</f>
        <v/>
      </c>
      <c r="G232" s="13" t="n"/>
      <c r="H232" s="13" t="n">
        <v>100</v>
      </c>
      <c r="I232" s="14" t="inlineStr">
        <is>
          <t>II- Machinery and Equipment</t>
        </is>
      </c>
      <c r="J232" s="9" t="inlineStr"/>
    </row>
    <row r="233">
      <c r="A233" s="8">
        <f>IF(AND(ISBLANK(B233),ISBLANK(C233),ISBLANK(D233),ISBLANK(E233),ISBLANK(G233),ISBLANK(H233),ISBLANK(J233)),"",ROW()-6)</f>
        <v/>
      </c>
      <c r="B233" s="9" t="inlineStr">
        <is>
          <t>Marble</t>
        </is>
      </c>
      <c r="C233" s="8" t="inlineStr">
        <is>
          <t>m</t>
        </is>
      </c>
      <c r="D233" s="10" t="n">
        <v>40</v>
      </c>
      <c r="E233" s="11" t="n">
        <v>55</v>
      </c>
      <c r="F233" s="12">
        <f>IF(AND(D233&lt;&gt;"",E233&lt;&gt;""),D233*E233,"")</f>
        <v/>
      </c>
      <c r="G233" s="13" t="n"/>
      <c r="H233" s="13" t="n">
        <v>100</v>
      </c>
      <c r="I233" s="14" t="inlineStr">
        <is>
          <t>II- Machinery and Equipment</t>
        </is>
      </c>
      <c r="J233" s="9" t="inlineStr"/>
    </row>
    <row r="234">
      <c r="A234" s="8">
        <f>IF(AND(ISBLANK(B234),ISBLANK(C234),ISBLANK(D234),ISBLANK(E234),ISBLANK(G234),ISBLANK(H234),ISBLANK(J234)),"",ROW()-6)</f>
        <v/>
      </c>
      <c r="B234" s="9" t="inlineStr">
        <is>
          <t>Men's Toilet</t>
        </is>
      </c>
      <c r="C234" s="8" t="inlineStr">
        <is>
          <t>pcs</t>
        </is>
      </c>
      <c r="D234" s="10" t="n">
        <v>6</v>
      </c>
      <c r="E234" s="11" t="n">
        <v>20</v>
      </c>
      <c r="F234" s="12">
        <f>IF(AND(D234&lt;&gt;"",E234&lt;&gt;""),D234*E234,"")</f>
        <v/>
      </c>
      <c r="G234" s="13" t="n"/>
      <c r="H234" s="13" t="n">
        <v>100</v>
      </c>
      <c r="I234" s="14" t="inlineStr">
        <is>
          <t>II- Machinery and Equipment</t>
        </is>
      </c>
      <c r="J234" s="9" t="inlineStr"/>
    </row>
    <row r="235">
      <c r="A235" s="8">
        <f>IF(AND(ISBLANK(B235),ISBLANK(C235),ISBLANK(D235),ISBLANK(E235),ISBLANK(G235),ISBLANK(H235),ISBLANK(J235)),"",ROW()-6)</f>
        <v/>
      </c>
      <c r="B235" s="9" t="inlineStr">
        <is>
          <t>Metal Cargo Elevator</t>
        </is>
      </c>
      <c r="C235" s="8" t="inlineStr">
        <is>
          <t>pcs</t>
        </is>
      </c>
      <c r="D235" s="10" t="n">
        <v>10</v>
      </c>
      <c r="E235" s="11" t="n">
        <v>25</v>
      </c>
      <c r="F235" s="12">
        <f>IF(AND(D235&lt;&gt;"",E235&lt;&gt;""),D235*E235,"")</f>
        <v/>
      </c>
      <c r="G235" s="13" t="n"/>
      <c r="H235" s="13" t="n">
        <v>100</v>
      </c>
      <c r="I235" s="14" t="inlineStr">
        <is>
          <t>II- Machinery and Equipment</t>
        </is>
      </c>
      <c r="J235" s="9" t="inlineStr"/>
    </row>
    <row r="236">
      <c r="A236" s="8">
        <f>IF(AND(ISBLANK(B236),ISBLANK(C236),ISBLANK(D236),ISBLANK(E236),ISBLANK(G236),ISBLANK(H236),ISBLANK(J236)),"",ROW()-6)</f>
        <v/>
      </c>
      <c r="B236" s="9" t="inlineStr">
        <is>
          <t>Metal Shelves (Lightweight)</t>
        </is>
      </c>
      <c r="C236" s="8" t="inlineStr">
        <is>
          <t>set</t>
        </is>
      </c>
      <c r="D236" s="10" t="n">
        <v>12</v>
      </c>
      <c r="E236" s="11" t="n">
        <v>50</v>
      </c>
      <c r="F236" s="12">
        <f>IF(AND(D236&lt;&gt;"",E236&lt;&gt;""),D236*E236,"")</f>
        <v/>
      </c>
      <c r="G236" s="13" t="n"/>
      <c r="H236" s="13" t="n">
        <v>100</v>
      </c>
      <c r="I236" s="14" t="inlineStr">
        <is>
          <t>II- Machinery and Equipment</t>
        </is>
      </c>
      <c r="J236" s="9" t="inlineStr"/>
    </row>
    <row r="237">
      <c r="A237" s="8">
        <f>IF(AND(ISBLANK(B237),ISBLANK(C237),ISBLANK(D237),ISBLANK(E237),ISBLANK(G237),ISBLANK(H237),ISBLANK(J237)),"",ROW()-6)</f>
        <v/>
      </c>
      <c r="B237" s="9" t="inlineStr">
        <is>
          <t>Mining Lamp</t>
        </is>
      </c>
      <c r="C237" s="8" t="inlineStr">
        <is>
          <t>pcs</t>
        </is>
      </c>
      <c r="D237" s="10" t="n">
        <v>40</v>
      </c>
      <c r="E237" s="11" t="n">
        <v>14.9</v>
      </c>
      <c r="F237" s="12">
        <f>IF(AND(D237&lt;&gt;"",E237&lt;&gt;""),D237*E237,"")</f>
        <v/>
      </c>
      <c r="G237" s="13" t="n"/>
      <c r="H237" s="13" t="n">
        <v>100</v>
      </c>
      <c r="I237" s="14" t="inlineStr">
        <is>
          <t>II- Machinery and Equipment</t>
        </is>
      </c>
      <c r="J237" s="9" t="inlineStr"/>
    </row>
    <row r="238">
      <c r="A238" s="8">
        <f>IF(AND(ISBLANK(B238),ISBLANK(C238),ISBLANK(D238),ISBLANK(E238),ISBLANK(G238),ISBLANK(H238),ISBLANK(J238)),"",ROW()-6)</f>
        <v/>
      </c>
      <c r="B238" s="9" t="inlineStr">
        <is>
          <t>Mosquito Suction Lamp</t>
        </is>
      </c>
      <c r="C238" s="8" t="inlineStr">
        <is>
          <t>set</t>
        </is>
      </c>
      <c r="D238" s="10" t="n">
        <v>3</v>
      </c>
      <c r="E238" s="11" t="n">
        <v>100</v>
      </c>
      <c r="F238" s="12">
        <f>IF(AND(D238&lt;&gt;"",E238&lt;&gt;""),D238*E238,"")</f>
        <v/>
      </c>
      <c r="G238" s="13" t="n"/>
      <c r="H238" s="13" t="n">
        <v>100</v>
      </c>
      <c r="I238" s="14" t="inlineStr">
        <is>
          <t>II- Machinery and Equipment</t>
        </is>
      </c>
      <c r="J238" s="9" t="inlineStr"/>
    </row>
    <row r="239">
      <c r="A239" s="8">
        <f>IF(AND(ISBLANK(B239),ISBLANK(C239),ISBLANK(D239),ISBLANK(E239),ISBLANK(G239),ISBLANK(H239),ISBLANK(J239)),"",ROW()-6)</f>
        <v/>
      </c>
      <c r="B239" s="9" t="inlineStr">
        <is>
          <t>Mower</t>
        </is>
      </c>
      <c r="C239" s="8" t="inlineStr">
        <is>
          <t>set</t>
        </is>
      </c>
      <c r="D239" s="10" t="n">
        <v>15</v>
      </c>
      <c r="E239" s="11" t="n">
        <v>35</v>
      </c>
      <c r="F239" s="12">
        <f>IF(AND(D239&lt;&gt;"",E239&lt;&gt;""),D239*E239,"")</f>
        <v/>
      </c>
      <c r="G239" s="13" t="n"/>
      <c r="H239" s="13" t="n">
        <v>100</v>
      </c>
      <c r="I239" s="14" t="inlineStr">
        <is>
          <t>II- Machinery and Equipment</t>
        </is>
      </c>
      <c r="J239" s="9" t="inlineStr"/>
    </row>
    <row r="240">
      <c r="A240" s="8">
        <f>IF(AND(ISBLANK(B240),ISBLANK(C240),ISBLANK(D240),ISBLANK(E240),ISBLANK(G240),ISBLANK(H240),ISBLANK(J240)),"",ROW()-6)</f>
        <v/>
      </c>
      <c r="B240" s="9" t="inlineStr">
        <is>
          <t>Nail</t>
        </is>
      </c>
      <c r="C240" s="8" t="inlineStr">
        <is>
          <t>kg</t>
        </is>
      </c>
      <c r="D240" s="10" t="n">
        <v>100</v>
      </c>
      <c r="E240" s="11" t="n">
        <v>51</v>
      </c>
      <c r="F240" s="12">
        <f>IF(AND(D240&lt;&gt;"",E240&lt;&gt;""),D240*E240,"")</f>
        <v/>
      </c>
      <c r="G240" s="13" t="n"/>
      <c r="H240" s="13" t="n">
        <v>100</v>
      </c>
      <c r="I240" s="14" t="inlineStr">
        <is>
          <t>II- Machinery and Equipment</t>
        </is>
      </c>
      <c r="J240" s="9" t="inlineStr"/>
    </row>
    <row r="241">
      <c r="A241" s="8">
        <f>IF(AND(ISBLANK(B241),ISBLANK(C241),ISBLANK(D241),ISBLANK(E241),ISBLANK(G241),ISBLANK(H241),ISBLANK(J241)),"",ROW()-6)</f>
        <v/>
      </c>
      <c r="B241" s="9" t="inlineStr">
        <is>
          <t>Nails (Various Sizes)</t>
        </is>
      </c>
      <c r="C241" s="8" t="inlineStr">
        <is>
          <t>kg</t>
        </is>
      </c>
      <c r="D241" s="10" t="n">
        <v>40</v>
      </c>
      <c r="E241" s="11" t="n">
        <v>3</v>
      </c>
      <c r="F241" s="12">
        <f>IF(AND(D241&lt;&gt;"",E241&lt;&gt;""),D241*E241,"")</f>
        <v/>
      </c>
      <c r="G241" s="13" t="n"/>
      <c r="H241" s="13" t="n">
        <v>100</v>
      </c>
      <c r="I241" s="14" t="inlineStr">
        <is>
          <t>II- Machinery and Equipment</t>
        </is>
      </c>
      <c r="J241" s="9" t="inlineStr"/>
    </row>
    <row r="242">
      <c r="A242" s="8">
        <f>IF(AND(ISBLANK(B242),ISBLANK(C242),ISBLANK(D242),ISBLANK(E242),ISBLANK(G242),ISBLANK(H242),ISBLANK(J242)),"",ROW()-6)</f>
        <v/>
      </c>
      <c r="B242" s="9" t="inlineStr">
        <is>
          <t>Network Computer Room</t>
        </is>
      </c>
      <c r="C242" s="8" t="inlineStr">
        <is>
          <t>set</t>
        </is>
      </c>
      <c r="D242" s="10" t="n">
        <v>1</v>
      </c>
      <c r="E242" s="11" t="n">
        <v>3000</v>
      </c>
      <c r="F242" s="12">
        <f>IF(AND(D242&lt;&gt;"",E242&lt;&gt;""),D242*E242,"")</f>
        <v/>
      </c>
      <c r="G242" s="13" t="n"/>
      <c r="H242" s="13" t="n">
        <v>100</v>
      </c>
      <c r="I242" s="14" t="inlineStr">
        <is>
          <t>II- Machinery and Equipment</t>
        </is>
      </c>
      <c r="J242" s="9" t="inlineStr"/>
    </row>
    <row r="243">
      <c r="A243" s="8">
        <f>IF(AND(ISBLANK(B243),ISBLANK(C243),ISBLANK(D243),ISBLANK(E243),ISBLANK(G243),ISBLANK(H243),ISBLANK(J243)),"",ROW()-6)</f>
        <v/>
      </c>
      <c r="B243" s="9" t="inlineStr">
        <is>
          <t>Nylon Ties</t>
        </is>
      </c>
      <c r="C243" s="8" t="inlineStr">
        <is>
          <t>m</t>
        </is>
      </c>
      <c r="D243" s="10" t="n">
        <v>80</v>
      </c>
      <c r="E243" s="11" t="n">
        <v>2</v>
      </c>
      <c r="F243" s="12">
        <f>IF(AND(D243&lt;&gt;"",E243&lt;&gt;""),D243*E243,"")</f>
        <v/>
      </c>
      <c r="G243" s="13" t="n"/>
      <c r="H243" s="13" t="n">
        <v>100</v>
      </c>
      <c r="I243" s="14" t="inlineStr">
        <is>
          <t>II- Machinery and Equipment</t>
        </is>
      </c>
      <c r="J243" s="9" t="inlineStr"/>
    </row>
    <row r="244">
      <c r="A244" s="8">
        <f>IF(AND(ISBLANK(B244),ISBLANK(C244),ISBLANK(D244),ISBLANK(E244),ISBLANK(G244),ISBLANK(H244),ISBLANK(J244)),"",ROW()-6)</f>
        <v/>
      </c>
      <c r="B244" s="9" t="inlineStr">
        <is>
          <t>Optical Cable</t>
        </is>
      </c>
      <c r="C244" s="8" t="inlineStr">
        <is>
          <t>m</t>
        </is>
      </c>
      <c r="D244" s="10" t="n">
        <v>400</v>
      </c>
      <c r="E244" s="11" t="n">
        <v>1</v>
      </c>
      <c r="F244" s="12">
        <f>IF(AND(D244&lt;&gt;"",E244&lt;&gt;""),D244*E244,"")</f>
        <v/>
      </c>
      <c r="G244" s="13" t="n"/>
      <c r="H244" s="13" t="n">
        <v>100</v>
      </c>
      <c r="I244" s="14" t="inlineStr">
        <is>
          <t>II- Machinery and Equipment</t>
        </is>
      </c>
      <c r="J244" s="9" t="inlineStr"/>
    </row>
    <row r="245">
      <c r="A245" s="8">
        <f>IF(AND(ISBLANK(B245),ISBLANK(C245),ISBLANK(D245),ISBLANK(E245),ISBLANK(G245),ISBLANK(H245),ISBLANK(J245)),"",ROW()-6)</f>
        <v/>
      </c>
      <c r="B245" s="9" t="inlineStr">
        <is>
          <t>Pad Iron</t>
        </is>
      </c>
      <c r="C245" s="8" t="inlineStr">
        <is>
          <t>kg</t>
        </is>
      </c>
      <c r="D245" s="10" t="n">
        <v>11000</v>
      </c>
      <c r="E245" s="11" t="n">
        <v>0.9</v>
      </c>
      <c r="F245" s="12">
        <f>IF(AND(D245&lt;&gt;"",E245&lt;&gt;""),D245*E245,"")</f>
        <v/>
      </c>
      <c r="G245" s="13" t="n"/>
      <c r="H245" s="13" t="n">
        <v>100</v>
      </c>
      <c r="I245" s="14" t="inlineStr">
        <is>
          <t>II- Machinery and Equipment</t>
        </is>
      </c>
      <c r="J245" s="9" t="inlineStr"/>
    </row>
    <row r="246">
      <c r="A246" s="8">
        <f>IF(AND(ISBLANK(B246),ISBLANK(C246),ISBLANK(D246),ISBLANK(E246),ISBLANK(G246),ISBLANK(H246),ISBLANK(J246)),"",ROW()-6)</f>
        <v/>
      </c>
      <c r="B246" s="9" t="inlineStr">
        <is>
          <t>Parking Lot License Plate Recognition Equipment</t>
        </is>
      </c>
      <c r="C246" s="8" t="inlineStr">
        <is>
          <t>set</t>
        </is>
      </c>
      <c r="D246" s="10" t="n">
        <v>1</v>
      </c>
      <c r="E246" s="11" t="n">
        <v>4500</v>
      </c>
      <c r="F246" s="12">
        <f>IF(AND(D246&lt;&gt;"",E246&lt;&gt;""),D246*E246,"")</f>
        <v/>
      </c>
      <c r="G246" s="13" t="n"/>
      <c r="H246" s="13" t="n">
        <v>100</v>
      </c>
      <c r="I246" s="14" t="inlineStr">
        <is>
          <t>II- Machinery and Equipment</t>
        </is>
      </c>
      <c r="J246" s="9" t="inlineStr"/>
    </row>
    <row r="247">
      <c r="A247" s="8">
        <f>IF(AND(ISBLANK(B247),ISBLANK(C247),ISBLANK(D247),ISBLANK(E247),ISBLANK(G247),ISBLANK(H247),ISBLANK(J247)),"",ROW()-6)</f>
        <v/>
      </c>
      <c r="B247" s="9" t="inlineStr">
        <is>
          <t>Pattern Plate</t>
        </is>
      </c>
      <c r="C247" s="8" t="inlineStr">
        <is>
          <t>pcs</t>
        </is>
      </c>
      <c r="D247" s="10" t="n">
        <v>500</v>
      </c>
      <c r="E247" s="11" t="n">
        <v>12</v>
      </c>
      <c r="F247" s="12">
        <f>IF(AND(D247&lt;&gt;"",E247&lt;&gt;""),D247*E247,"")</f>
        <v/>
      </c>
      <c r="G247" s="13" t="n"/>
      <c r="H247" s="13" t="n">
        <v>100</v>
      </c>
      <c r="I247" s="14" t="inlineStr">
        <is>
          <t>II- Machinery and Equipment</t>
        </is>
      </c>
      <c r="J247" s="9" t="inlineStr"/>
    </row>
    <row r="248">
      <c r="A248" s="8">
        <f>IF(AND(ISBLANK(B248),ISBLANK(C248),ISBLANK(D248),ISBLANK(E248),ISBLANK(G248),ISBLANK(H248),ISBLANK(J248)),"",ROW()-6)</f>
        <v/>
      </c>
      <c r="B248" s="9" t="inlineStr">
        <is>
          <t>Percussion Drilling</t>
        </is>
      </c>
      <c r="C248" s="8" t="inlineStr">
        <is>
          <t>set</t>
        </is>
      </c>
      <c r="D248" s="10" t="n">
        <v>5</v>
      </c>
      <c r="E248" s="11" t="n">
        <v>65</v>
      </c>
      <c r="F248" s="12">
        <f>IF(AND(D248&lt;&gt;"",E248&lt;&gt;""),D248*E248,"")</f>
        <v/>
      </c>
      <c r="G248" s="13" t="n"/>
      <c r="H248" s="13" t="n">
        <v>100</v>
      </c>
      <c r="I248" s="14" t="inlineStr">
        <is>
          <t>II- Machinery and Equipment</t>
        </is>
      </c>
      <c r="J248" s="9" t="inlineStr"/>
    </row>
    <row r="249">
      <c r="A249" s="8">
        <f>IF(AND(ISBLANK(B249),ISBLANK(C249),ISBLANK(D249),ISBLANK(E249),ISBLANK(G249),ISBLANK(H249),ISBLANK(J249)),"",ROW()-6)</f>
        <v/>
      </c>
      <c r="B249" s="9" t="inlineStr">
        <is>
          <t>Plastic-Lined Composite Water Supply Pipe</t>
        </is>
      </c>
      <c r="C249" s="8" t="inlineStr">
        <is>
          <t>m</t>
        </is>
      </c>
      <c r="D249" s="10" t="n">
        <v>600</v>
      </c>
      <c r="E249" s="11" t="n">
        <v>14</v>
      </c>
      <c r="F249" s="12">
        <f>IF(AND(D249&lt;&gt;"",E249&lt;&gt;""),D249*E249,"")</f>
        <v/>
      </c>
      <c r="G249" s="13" t="n"/>
      <c r="H249" s="13" t="n">
        <v>100</v>
      </c>
      <c r="I249" s="14" t="inlineStr">
        <is>
          <t>II- Machinery and Equipment</t>
        </is>
      </c>
      <c r="J249" s="9" t="inlineStr"/>
    </row>
    <row r="250">
      <c r="A250" s="8">
        <f>IF(AND(ISBLANK(B250),ISBLANK(C250),ISBLANK(D250),ISBLANK(E250),ISBLANK(G250),ISBLANK(H250),ISBLANK(J250)),"",ROW()-6)</f>
        <v/>
      </c>
      <c r="B250" s="9" t="inlineStr">
        <is>
          <t>Plastic-Lined Composite Water Supply Pipe Fittings</t>
        </is>
      </c>
      <c r="C250" s="8" t="inlineStr">
        <is>
          <t>pcs</t>
        </is>
      </c>
      <c r="D250" s="10" t="n">
        <v>440</v>
      </c>
      <c r="E250" s="11" t="n">
        <v>3.5</v>
      </c>
      <c r="F250" s="12">
        <f>IF(AND(D250&lt;&gt;"",E250&lt;&gt;""),D250*E250,"")</f>
        <v/>
      </c>
      <c r="G250" s="13" t="n"/>
      <c r="H250" s="13" t="n">
        <v>100</v>
      </c>
      <c r="I250" s="14" t="inlineStr">
        <is>
          <t>II- Machinery and Equipment</t>
        </is>
      </c>
      <c r="J250" s="9" t="inlineStr"/>
    </row>
    <row r="251">
      <c r="A251" s="8">
        <f>IF(AND(ISBLANK(B251),ISBLANK(C251),ISBLANK(D251),ISBLANK(E251),ISBLANK(G251),ISBLANK(H251),ISBLANK(J251)),"",ROW()-6)</f>
        <v/>
      </c>
      <c r="B251" s="9" t="inlineStr">
        <is>
          <t>Pliers</t>
        </is>
      </c>
      <c r="C251" s="8" t="inlineStr">
        <is>
          <t>pcs</t>
        </is>
      </c>
      <c r="D251" s="10" t="n">
        <v>100</v>
      </c>
      <c r="E251" s="11" t="n">
        <v>1</v>
      </c>
      <c r="F251" s="12">
        <f>IF(AND(D251&lt;&gt;"",E251&lt;&gt;""),D251*E251,"")</f>
        <v/>
      </c>
      <c r="G251" s="13" t="n"/>
      <c r="H251" s="13" t="n">
        <v>100</v>
      </c>
      <c r="I251" s="14" t="inlineStr">
        <is>
          <t>II- Machinery and Equipment</t>
        </is>
      </c>
      <c r="J251" s="9" t="inlineStr"/>
    </row>
    <row r="252">
      <c r="A252" s="8">
        <f>IF(AND(ISBLANK(B252),ISBLANK(C252),ISBLANK(D252),ISBLANK(E252),ISBLANK(G252),ISBLANK(H252),ISBLANK(J252)),"",ROW()-6)</f>
        <v/>
      </c>
      <c r="B252" s="9" t="inlineStr">
        <is>
          <t>Polisher</t>
        </is>
      </c>
      <c r="C252" s="8" t="inlineStr">
        <is>
          <t>set</t>
        </is>
      </c>
      <c r="D252" s="10" t="n">
        <v>4</v>
      </c>
      <c r="E252" s="11" t="n">
        <v>32</v>
      </c>
      <c r="F252" s="12">
        <f>IF(AND(D252&lt;&gt;"",E252&lt;&gt;""),D252*E252,"")</f>
        <v/>
      </c>
      <c r="G252" s="13" t="n"/>
      <c r="H252" s="13" t="n">
        <v>100</v>
      </c>
      <c r="I252" s="14" t="inlineStr">
        <is>
          <t>II- Machinery and Equipment</t>
        </is>
      </c>
      <c r="J252" s="9" t="inlineStr"/>
    </row>
    <row r="253">
      <c r="A253" s="8">
        <f>IF(AND(ISBLANK(B253),ISBLANK(C253),ISBLANK(D253),ISBLANK(E253),ISBLANK(G253),ISBLANK(H253),ISBLANK(J253)),"",ROW()-6)</f>
        <v/>
      </c>
      <c r="B253" s="9" t="inlineStr">
        <is>
          <t>Pot</t>
        </is>
      </c>
      <c r="C253" s="8" t="inlineStr">
        <is>
          <t>pcs</t>
        </is>
      </c>
      <c r="D253" s="10" t="n">
        <v>9</v>
      </c>
      <c r="E253" s="11" t="n">
        <v>35</v>
      </c>
      <c r="F253" s="12">
        <f>IF(AND(D253&lt;&gt;"",E253&lt;&gt;""),D253*E253,"")</f>
        <v/>
      </c>
      <c r="G253" s="13" t="n"/>
      <c r="H253" s="13" t="n">
        <v>100</v>
      </c>
      <c r="I253" s="14" t="inlineStr">
        <is>
          <t>II- Machinery and Equipment</t>
        </is>
      </c>
      <c r="J253" s="9" t="inlineStr"/>
    </row>
    <row r="254">
      <c r="A254" s="8">
        <f>IF(AND(ISBLANK(B254),ISBLANK(C254),ISBLANK(D254),ISBLANK(E254),ISBLANK(G254),ISBLANK(H254),ISBLANK(J254)),"",ROW()-6)</f>
        <v/>
      </c>
      <c r="B254" s="9" t="inlineStr">
        <is>
          <t>Power Electric Box</t>
        </is>
      </c>
      <c r="C254" s="8" t="inlineStr">
        <is>
          <t>set</t>
        </is>
      </c>
      <c r="D254" s="10" t="n">
        <v>50</v>
      </c>
      <c r="E254" s="11" t="n">
        <v>170</v>
      </c>
      <c r="F254" s="12">
        <f>IF(AND(D254&lt;&gt;"",E254&lt;&gt;""),D254*E254,"")</f>
        <v/>
      </c>
      <c r="G254" s="13" t="n"/>
      <c r="H254" s="13" t="n">
        <v>100</v>
      </c>
      <c r="I254" s="14" t="inlineStr">
        <is>
          <t>II- Machinery and Equipment</t>
        </is>
      </c>
      <c r="J254" s="9" t="inlineStr"/>
    </row>
    <row r="255">
      <c r="A255" s="8">
        <f>IF(AND(ISBLANK(B255),ISBLANK(C255),ISBLANK(D255),ISBLANK(E255),ISBLANK(G255),ISBLANK(H255),ISBLANK(J255)),"",ROW()-6)</f>
        <v/>
      </c>
      <c r="B255" s="9" t="inlineStr">
        <is>
          <t>Power Machine</t>
        </is>
      </c>
      <c r="C255" s="8" t="inlineStr">
        <is>
          <t>set</t>
        </is>
      </c>
      <c r="D255" s="10" t="n">
        <v>5</v>
      </c>
      <c r="E255" s="11" t="n">
        <v>60</v>
      </c>
      <c r="F255" s="12">
        <f>IF(AND(D255&lt;&gt;"",E255&lt;&gt;""),D255*E255,"")</f>
        <v/>
      </c>
      <c r="G255" s="13" t="n"/>
      <c r="H255" s="13" t="n">
        <v>100</v>
      </c>
      <c r="I255" s="14" t="inlineStr">
        <is>
          <t>II- Machinery and Equipment</t>
        </is>
      </c>
      <c r="J255" s="9" t="inlineStr"/>
    </row>
    <row r="256">
      <c r="A256" s="8">
        <f>IF(AND(ISBLANK(B256),ISBLANK(C256),ISBLANK(D256),ISBLANK(E256),ISBLANK(G256),ISBLANK(H256),ISBLANK(J256)),"",ROW()-6)</f>
        <v/>
      </c>
      <c r="B256" s="9" t="inlineStr">
        <is>
          <t>PPR Water Pipe</t>
        </is>
      </c>
      <c r="C256" s="8" t="inlineStr">
        <is>
          <t>m</t>
        </is>
      </c>
      <c r="D256" s="10" t="n">
        <v>1600</v>
      </c>
      <c r="E256" s="11" t="n">
        <v>1</v>
      </c>
      <c r="F256" s="12">
        <f>IF(AND(D256&lt;&gt;"",E256&lt;&gt;""),D256*E256,"")</f>
        <v/>
      </c>
      <c r="G256" s="13" t="n"/>
      <c r="H256" s="13" t="n">
        <v>100</v>
      </c>
      <c r="I256" s="14" t="inlineStr">
        <is>
          <t>II- Machinery and Equipment</t>
        </is>
      </c>
      <c r="J256" s="9" t="inlineStr"/>
    </row>
    <row r="257">
      <c r="A257" s="8">
        <f>IF(AND(ISBLANK(B257),ISBLANK(C257),ISBLANK(D257),ISBLANK(E257),ISBLANK(G257),ISBLANK(H257),ISBLANK(J257)),"",ROW()-6)</f>
        <v/>
      </c>
      <c r="B257" s="9" t="inlineStr">
        <is>
          <t>PPR Water Supply Fittings</t>
        </is>
      </c>
      <c r="C257" s="8" t="inlineStr">
        <is>
          <t>pcs</t>
        </is>
      </c>
      <c r="D257" s="10" t="n">
        <v>5400</v>
      </c>
      <c r="E257" s="11" t="n">
        <v>1.05</v>
      </c>
      <c r="F257" s="12">
        <f>IF(AND(D257&lt;&gt;"",E257&lt;&gt;""),D257*E257,"")</f>
        <v/>
      </c>
      <c r="G257" s="13" t="n"/>
      <c r="H257" s="13" t="n">
        <v>100</v>
      </c>
      <c r="I257" s="14" t="inlineStr">
        <is>
          <t>II- Machinery and Equipment</t>
        </is>
      </c>
      <c r="J257" s="9" t="inlineStr"/>
    </row>
    <row r="258">
      <c r="A258" s="8">
        <f>IF(AND(ISBLANK(B258),ISBLANK(C258),ISBLANK(D258),ISBLANK(E258),ISBLANK(G258),ISBLANK(H258),ISBLANK(J258)),"",ROW()-6)</f>
        <v/>
      </c>
      <c r="B258" s="9" t="inlineStr">
        <is>
          <t>Press Fastener</t>
        </is>
      </c>
      <c r="C258" s="8" t="inlineStr">
        <is>
          <t>set</t>
        </is>
      </c>
      <c r="D258" s="10" t="n">
        <v>8000</v>
      </c>
      <c r="E258" s="11" t="n">
        <v>0.5</v>
      </c>
      <c r="F258" s="12">
        <f>IF(AND(D258&lt;&gt;"",E258&lt;&gt;""),D258*E258,"")</f>
        <v/>
      </c>
      <c r="G258" s="13" t="n"/>
      <c r="H258" s="13" t="n">
        <v>100</v>
      </c>
      <c r="I258" s="14" t="inlineStr">
        <is>
          <t>II- Machinery and Equipment</t>
        </is>
      </c>
      <c r="J258" s="9" t="inlineStr"/>
    </row>
    <row r="259">
      <c r="A259" s="8">
        <f>IF(AND(ISBLANK(B259),ISBLANK(C259),ISBLANK(D259),ISBLANK(E259),ISBLANK(G259),ISBLANK(H259),ISBLANK(J259)),"",ROW()-6)</f>
        <v/>
      </c>
      <c r="B259" s="9" t="inlineStr">
        <is>
          <t>Public Address Equipment</t>
        </is>
      </c>
      <c r="C259" s="8" t="inlineStr">
        <is>
          <t>set</t>
        </is>
      </c>
      <c r="D259" s="10" t="n">
        <v>1</v>
      </c>
      <c r="E259" s="11" t="n">
        <v>9000</v>
      </c>
      <c r="F259" s="12">
        <f>IF(AND(D259&lt;&gt;"",E259&lt;&gt;""),D259*E259,"")</f>
        <v/>
      </c>
      <c r="G259" s="13" t="n"/>
      <c r="H259" s="13" t="n">
        <v>100</v>
      </c>
      <c r="I259" s="14" t="inlineStr">
        <is>
          <t>II- Machinery and Equipment</t>
        </is>
      </c>
      <c r="J259" s="9" t="inlineStr"/>
    </row>
    <row r="260">
      <c r="A260" s="8">
        <f>IF(AND(ISBLANK(B260),ISBLANK(C260),ISBLANK(D260),ISBLANK(E260),ISBLANK(G260),ISBLANK(H260),ISBLANK(J260)),"",ROW()-6)</f>
        <v/>
      </c>
      <c r="B260" s="9" t="inlineStr">
        <is>
          <t>Push and Pull Door Orbit</t>
        </is>
      </c>
      <c r="C260" s="8" t="inlineStr">
        <is>
          <t>m</t>
        </is>
      </c>
      <c r="D260" s="10" t="n">
        <v>240</v>
      </c>
      <c r="E260" s="11" t="n">
        <v>20</v>
      </c>
      <c r="F260" s="12">
        <f>IF(AND(D260&lt;&gt;"",E260&lt;&gt;""),D260*E260,"")</f>
        <v/>
      </c>
      <c r="G260" s="13" t="n"/>
      <c r="H260" s="13" t="n">
        <v>100</v>
      </c>
      <c r="I260" s="14" t="inlineStr">
        <is>
          <t>II- Machinery and Equipment</t>
        </is>
      </c>
      <c r="J260" s="9" t="inlineStr"/>
    </row>
    <row r="261">
      <c r="A261" s="8">
        <f>IF(AND(ISBLANK(B261),ISBLANK(C261),ISBLANK(D261),ISBLANK(E261),ISBLANK(G261),ISBLANK(H261),ISBLANK(J261)),"",ROW()-6)</f>
        <v/>
      </c>
      <c r="B261" s="9" t="inlineStr">
        <is>
          <t>Push and Pull Door Pulley</t>
        </is>
      </c>
      <c r="C261" s="8" t="inlineStr">
        <is>
          <t>pcs</t>
        </is>
      </c>
      <c r="D261" s="10" t="n">
        <v>80</v>
      </c>
      <c r="E261" s="11" t="n">
        <v>8</v>
      </c>
      <c r="F261" s="12">
        <f>IF(AND(D261&lt;&gt;"",E261&lt;&gt;""),D261*E261,"")</f>
        <v/>
      </c>
      <c r="G261" s="13" t="n"/>
      <c r="H261" s="13" t="n">
        <v>100</v>
      </c>
      <c r="I261" s="14" t="inlineStr">
        <is>
          <t>II- Machinery and Equipment</t>
        </is>
      </c>
      <c r="J261" s="9" t="inlineStr"/>
    </row>
    <row r="262">
      <c r="A262" s="8">
        <f>IF(AND(ISBLANK(B262),ISBLANK(C262),ISBLANK(D262),ISBLANK(E262),ISBLANK(G262),ISBLANK(H262),ISBLANK(J262)),"",ROW()-6)</f>
        <v/>
      </c>
      <c r="B262" s="9" t="inlineStr">
        <is>
          <t>Push and Pull the Door</t>
        </is>
      </c>
      <c r="C262" s="8" t="inlineStr">
        <is>
          <t>set</t>
        </is>
      </c>
      <c r="D262" s="10" t="n">
        <v>40</v>
      </c>
      <c r="E262" s="11" t="n">
        <v>100</v>
      </c>
      <c r="F262" s="12">
        <f>IF(AND(D262&lt;&gt;"",E262&lt;&gt;""),D262*E262,"")</f>
        <v/>
      </c>
      <c r="G262" s="13" t="n"/>
      <c r="H262" s="13" t="n">
        <v>100</v>
      </c>
      <c r="I262" s="14" t="inlineStr">
        <is>
          <t>II- Machinery and Equipment</t>
        </is>
      </c>
      <c r="J262" s="9" t="inlineStr"/>
    </row>
    <row r="263">
      <c r="A263" s="8">
        <f>IF(AND(ISBLANK(B263),ISBLANK(C263),ISBLANK(D263),ISBLANK(E263),ISBLANK(G263),ISBLANK(H263),ISBLANK(J263)),"",ROW()-6)</f>
        <v/>
      </c>
      <c r="B263" s="9" t="inlineStr">
        <is>
          <t>Push and Pull Window Crescent Lock</t>
        </is>
      </c>
      <c r="C263" s="8" t="inlineStr">
        <is>
          <t>pcs</t>
        </is>
      </c>
      <c r="D263" s="10" t="n">
        <v>260</v>
      </c>
      <c r="E263" s="11" t="n">
        <v>1.5</v>
      </c>
      <c r="F263" s="12">
        <f>IF(AND(D263&lt;&gt;"",E263&lt;&gt;""),D263*E263,"")</f>
        <v/>
      </c>
      <c r="G263" s="13" t="n"/>
      <c r="H263" s="13" t="n">
        <v>100</v>
      </c>
      <c r="I263" s="14" t="inlineStr">
        <is>
          <t>II- Machinery and Equipment</t>
        </is>
      </c>
      <c r="J263" s="9" t="inlineStr"/>
    </row>
    <row r="264">
      <c r="A264" s="8">
        <f>IF(AND(ISBLANK(B264),ISBLANK(C264),ISBLANK(D264),ISBLANK(E264),ISBLANK(G264),ISBLANK(H264),ISBLANK(J264)),"",ROW()-6)</f>
        <v/>
      </c>
      <c r="B264" s="9" t="inlineStr">
        <is>
          <t>Push and Pull Window Pulley</t>
        </is>
      </c>
      <c r="C264" s="8" t="inlineStr">
        <is>
          <t>pcs</t>
        </is>
      </c>
      <c r="D264" s="10" t="n">
        <v>2600</v>
      </c>
      <c r="E264" s="11" t="n">
        <v>2</v>
      </c>
      <c r="F264" s="12">
        <f>IF(AND(D264&lt;&gt;"",E264&lt;&gt;""),D264*E264,"")</f>
        <v/>
      </c>
      <c r="G264" s="13" t="n"/>
      <c r="H264" s="13" t="n">
        <v>100</v>
      </c>
      <c r="I264" s="14" t="inlineStr">
        <is>
          <t>II- Machinery and Equipment</t>
        </is>
      </c>
      <c r="J264" s="9" t="inlineStr"/>
    </row>
    <row r="265">
      <c r="A265" s="8">
        <f>IF(AND(ISBLANK(B265),ISBLANK(C265),ISBLANK(D265),ISBLANK(E265),ISBLANK(G265),ISBLANK(H265),ISBLANK(J265)),"",ROW()-6)</f>
        <v/>
      </c>
      <c r="B265" s="9" t="inlineStr">
        <is>
          <t>Putty Powder</t>
        </is>
      </c>
      <c r="C265" s="8" t="inlineStr">
        <is>
          <t>kg</t>
        </is>
      </c>
      <c r="D265" s="10" t="n">
        <v>20000</v>
      </c>
      <c r="E265" s="11" t="n">
        <v>0.12</v>
      </c>
      <c r="F265" s="12">
        <f>IF(AND(D265&lt;&gt;"",E265&lt;&gt;""),D265*E265,"")</f>
        <v/>
      </c>
      <c r="G265" s="13" t="n"/>
      <c r="H265" s="13" t="n">
        <v>100</v>
      </c>
      <c r="I265" s="14" t="inlineStr">
        <is>
          <t>II- Machinery and Equipment</t>
        </is>
      </c>
      <c r="J265" s="9" t="inlineStr"/>
    </row>
    <row r="266">
      <c r="A266" s="8">
        <f>IF(AND(ISBLANK(B266),ISBLANK(C266),ISBLANK(D266),ISBLANK(E266),ISBLANK(G266),ISBLANK(H266),ISBLANK(J266)),"",ROW()-6)</f>
        <v/>
      </c>
      <c r="B266" s="9" t="inlineStr">
        <is>
          <t>PVC Conduit</t>
        </is>
      </c>
      <c r="C266" s="8" t="inlineStr">
        <is>
          <t>m</t>
        </is>
      </c>
      <c r="D266" s="10" t="n">
        <v>7000</v>
      </c>
      <c r="E266" s="11" t="n">
        <v>0.28</v>
      </c>
      <c r="F266" s="12">
        <f>IF(AND(D266&lt;&gt;"",E266&lt;&gt;""),D266*E266,"")</f>
        <v/>
      </c>
      <c r="G266" s="13" t="n"/>
      <c r="H266" s="13" t="n">
        <v>100</v>
      </c>
      <c r="I266" s="14" t="inlineStr">
        <is>
          <t>II- Machinery and Equipment</t>
        </is>
      </c>
      <c r="J266" s="9" t="inlineStr"/>
    </row>
    <row r="267">
      <c r="A267" s="8">
        <f>IF(AND(ISBLANK(B267),ISBLANK(C267),ISBLANK(D267),ISBLANK(E267),ISBLANK(G267),ISBLANK(H267),ISBLANK(J267)),"",ROW()-6)</f>
        <v/>
      </c>
      <c r="B267" s="9" t="inlineStr">
        <is>
          <t>PVC Drainage Pipe</t>
        </is>
      </c>
      <c r="C267" s="8" t="inlineStr">
        <is>
          <t>m</t>
        </is>
      </c>
      <c r="D267" s="10" t="n">
        <v>1200</v>
      </c>
      <c r="E267" s="11" t="n">
        <v>2.3</v>
      </c>
      <c r="F267" s="12">
        <f>IF(AND(D267&lt;&gt;"",E267&lt;&gt;""),D267*E267,"")</f>
        <v/>
      </c>
      <c r="G267" s="13" t="n"/>
      <c r="H267" s="13" t="n">
        <v>100</v>
      </c>
      <c r="I267" s="14" t="inlineStr">
        <is>
          <t>II- Machinery and Equipment</t>
        </is>
      </c>
      <c r="J267" s="9" t="inlineStr"/>
    </row>
    <row r="268">
      <c r="A268" s="8">
        <f>IF(AND(ISBLANK(B268),ISBLANK(C268),ISBLANK(D268),ISBLANK(E268),ISBLANK(G268),ISBLANK(H268),ISBLANK(J268)),"",ROW()-6)</f>
        <v/>
      </c>
      <c r="B268" s="9" t="inlineStr">
        <is>
          <t>PVC Drainage Pipe Fittings</t>
        </is>
      </c>
      <c r="C268" s="8" t="inlineStr">
        <is>
          <t>pcs</t>
        </is>
      </c>
      <c r="D268" s="10" t="n">
        <v>1800</v>
      </c>
      <c r="E268" s="11" t="n">
        <v>2.2</v>
      </c>
      <c r="F268" s="12">
        <f>IF(AND(D268&lt;&gt;"",E268&lt;&gt;""),D268*E268,"")</f>
        <v/>
      </c>
      <c r="G268" s="13" t="n"/>
      <c r="H268" s="13" t="n">
        <v>100</v>
      </c>
      <c r="I268" s="14" t="inlineStr">
        <is>
          <t>II- Machinery and Equipment</t>
        </is>
      </c>
      <c r="J268" s="9" t="inlineStr"/>
    </row>
    <row r="269">
      <c r="A269" s="8">
        <f>IF(AND(ISBLANK(B269),ISBLANK(C269),ISBLANK(D269),ISBLANK(E269),ISBLANK(G269),ISBLANK(H269),ISBLANK(J269)),"",ROW()-6)</f>
        <v/>
      </c>
      <c r="B269" s="9" t="inlineStr">
        <is>
          <t>PVC Falling Water Gutter</t>
        </is>
      </c>
      <c r="C269" s="8" t="inlineStr">
        <is>
          <t>m</t>
        </is>
      </c>
      <c r="D269" s="10" t="n">
        <v>1100</v>
      </c>
      <c r="E269" s="11" t="n">
        <v>3.6</v>
      </c>
      <c r="F269" s="12">
        <f>IF(AND(D269&lt;&gt;"",E269&lt;&gt;""),D269*E269,"")</f>
        <v/>
      </c>
      <c r="G269" s="13" t="n"/>
      <c r="H269" s="13" t="n">
        <v>100</v>
      </c>
      <c r="I269" s="14" t="inlineStr">
        <is>
          <t>II- Machinery and Equipment</t>
        </is>
      </c>
      <c r="J269" s="9" t="inlineStr"/>
    </row>
    <row r="270">
      <c r="A270" s="8">
        <f>IF(AND(ISBLANK(B270),ISBLANK(C270),ISBLANK(D270),ISBLANK(E270),ISBLANK(G270),ISBLANK(H270),ISBLANK(J270)),"",ROW()-6)</f>
        <v/>
      </c>
      <c r="B270" s="9" t="inlineStr">
        <is>
          <t>Rivet (Rivet Gun)</t>
        </is>
      </c>
      <c r="C270" s="8" t="inlineStr">
        <is>
          <t>pcs</t>
        </is>
      </c>
      <c r="D270" s="10" t="n">
        <v>200</v>
      </c>
      <c r="E270" s="11" t="n">
        <v>0.7</v>
      </c>
      <c r="F270" s="12">
        <f>IF(AND(D270&lt;&gt;"",E270&lt;&gt;""),D270*E270,"")</f>
        <v/>
      </c>
      <c r="G270" s="13" t="n"/>
      <c r="H270" s="13" t="n">
        <v>100</v>
      </c>
      <c r="I270" s="14" t="inlineStr">
        <is>
          <t>II- Machinery and Equipment</t>
        </is>
      </c>
      <c r="J270" s="9" t="inlineStr"/>
    </row>
    <row r="271">
      <c r="A271" s="8">
        <f>IF(AND(ISBLANK(B271),ISBLANK(C271),ISBLANK(D271),ISBLANK(E271),ISBLANK(G271),ISBLANK(H271),ISBLANK(J271)),"",ROW()-6)</f>
        <v/>
      </c>
      <c r="B271" s="9" t="inlineStr">
        <is>
          <t>Rolling Gate with Motor</t>
        </is>
      </c>
      <c r="C271" s="8" t="inlineStr">
        <is>
          <t>set</t>
        </is>
      </c>
      <c r="D271" s="10" t="n">
        <v>5</v>
      </c>
      <c r="E271" s="11" t="n">
        <v>60</v>
      </c>
      <c r="F271" s="12">
        <f>IF(AND(D271&lt;&gt;"",E271&lt;&gt;""),D271*E271,"")</f>
        <v/>
      </c>
      <c r="G271" s="13" t="n"/>
      <c r="H271" s="13" t="n">
        <v>100</v>
      </c>
      <c r="I271" s="14" t="inlineStr">
        <is>
          <t>II- Machinery and Equipment</t>
        </is>
      </c>
      <c r="J271" s="9" t="inlineStr"/>
    </row>
    <row r="272">
      <c r="A272" s="8">
        <f>IF(AND(ISBLANK(B272),ISBLANK(C272),ISBLANK(D272),ISBLANK(E272),ISBLANK(G272),ISBLANK(H272),ISBLANK(J272)),"",ROW()-6)</f>
        <v/>
      </c>
      <c r="B272" s="9" t="inlineStr">
        <is>
          <t>Roof Purlin C200*70*20*2.0</t>
        </is>
      </c>
      <c r="C272" s="8" t="inlineStr">
        <is>
          <t>kg</t>
        </is>
      </c>
      <c r="D272" s="10" t="n">
        <v>90000</v>
      </c>
      <c r="E272" s="11" t="n">
        <v>0.72</v>
      </c>
      <c r="F272" s="12">
        <f>IF(AND(D272&lt;&gt;"",E272&lt;&gt;""),D272*E272,"")</f>
        <v/>
      </c>
      <c r="G272" s="13" t="n"/>
      <c r="H272" s="13" t="n">
        <v>100</v>
      </c>
      <c r="I272" s="14" t="inlineStr">
        <is>
          <t>II- Machinery and Equipment</t>
        </is>
      </c>
      <c r="J272" s="9" t="inlineStr"/>
    </row>
    <row r="273">
      <c r="A273" s="8">
        <f>IF(AND(ISBLANK(B273),ISBLANK(C273),ISBLANK(D273),ISBLANK(E273),ISBLANK(G273),ISBLANK(H273),ISBLANK(J273)),"",ROW()-6)</f>
        <v/>
      </c>
      <c r="B273" s="9" t="inlineStr">
        <is>
          <t>Roofing Bar ∅10 Steel Bar</t>
        </is>
      </c>
      <c r="C273" s="8" t="inlineStr">
        <is>
          <t>kg</t>
        </is>
      </c>
      <c r="D273" s="10" t="n">
        <v>3100</v>
      </c>
      <c r="E273" s="11" t="n">
        <v>0.8</v>
      </c>
      <c r="F273" s="12">
        <f>IF(AND(D273&lt;&gt;"",E273&lt;&gt;""),D273*E273,"")</f>
        <v/>
      </c>
      <c r="G273" s="13" t="n"/>
      <c r="H273" s="13" t="n">
        <v>100</v>
      </c>
      <c r="I273" s="14" t="inlineStr">
        <is>
          <t>II- Machinery and Equipment</t>
        </is>
      </c>
      <c r="J273" s="9" t="inlineStr"/>
    </row>
    <row r="274">
      <c r="A274" s="8">
        <f>IF(AND(ISBLANK(B274),ISBLANK(C274),ISBLANK(D274),ISBLANK(E274),ISBLANK(G274),ISBLANK(H274),ISBLANK(J274)),"",ROW()-6)</f>
        <v/>
      </c>
      <c r="B274" s="9" t="inlineStr">
        <is>
          <t>Roofing Corner Bracing L50*3 Angle Iron</t>
        </is>
      </c>
      <c r="C274" s="8" t="inlineStr">
        <is>
          <t>kg</t>
        </is>
      </c>
      <c r="D274" s="10" t="n">
        <v>12400</v>
      </c>
      <c r="E274" s="11" t="n">
        <v>0.65</v>
      </c>
      <c r="F274" s="12">
        <f>IF(AND(D274&lt;&gt;"",E274&lt;&gt;""),D274*E274,"")</f>
        <v/>
      </c>
      <c r="G274" s="13" t="n"/>
      <c r="H274" s="13" t="n">
        <v>100</v>
      </c>
      <c r="I274" s="14" t="inlineStr">
        <is>
          <t>II- Machinery and Equipment</t>
        </is>
      </c>
      <c r="J274" s="9" t="inlineStr"/>
    </row>
    <row r="275">
      <c r="A275" s="8">
        <f>IF(AND(ISBLANK(B275),ISBLANK(C275),ISBLANK(D275),ISBLANK(E275),ISBLANK(G275),ISBLANK(H275),ISBLANK(J275)),"",ROW()-6)</f>
        <v/>
      </c>
      <c r="B275" s="9" t="inlineStr">
        <is>
          <t>Round Steel</t>
        </is>
      </c>
      <c r="C275" s="8" t="inlineStr">
        <is>
          <t>kg</t>
        </is>
      </c>
      <c r="D275" s="10" t="n">
        <v>13000</v>
      </c>
      <c r="E275" s="11" t="n">
        <v>0.55</v>
      </c>
      <c r="F275" s="12">
        <f>IF(AND(D275&lt;&gt;"",E275&lt;&gt;""),D275*E275,"")</f>
        <v/>
      </c>
      <c r="G275" s="13" t="n"/>
      <c r="H275" s="13" t="n">
        <v>100</v>
      </c>
      <c r="I275" s="14" t="inlineStr">
        <is>
          <t>II- Machinery and Equipment</t>
        </is>
      </c>
      <c r="J275" s="9" t="inlineStr"/>
    </row>
    <row r="276">
      <c r="A276" s="8">
        <f>IF(AND(ISBLANK(B276),ISBLANK(C276),ISBLANK(D276),ISBLANK(E276),ISBLANK(G276),ISBLANK(H276),ISBLANK(J276)),"",ROW()-6)</f>
        <v/>
      </c>
      <c r="B276" s="9" t="inlineStr">
        <is>
          <t>Rubber Stool</t>
        </is>
      </c>
      <c r="C276" s="8" t="inlineStr">
        <is>
          <t>pcs</t>
        </is>
      </c>
      <c r="D276" s="10" t="n">
        <v>60</v>
      </c>
      <c r="E276" s="11" t="n">
        <v>3</v>
      </c>
      <c r="F276" s="12">
        <f>IF(AND(D276&lt;&gt;"",E276&lt;&gt;""),D276*E276,"")</f>
        <v/>
      </c>
      <c r="G276" s="13" t="n"/>
      <c r="H276" s="13" t="n">
        <v>100</v>
      </c>
      <c r="I276" s="14" t="inlineStr">
        <is>
          <t>II- Machinery and Equipment</t>
        </is>
      </c>
      <c r="J276" s="9" t="inlineStr"/>
    </row>
    <row r="277">
      <c r="A277" s="8">
        <f>IF(AND(ISBLANK(B277),ISBLANK(C277),ISBLANK(D277),ISBLANK(E277),ISBLANK(G277),ISBLANK(H277),ISBLANK(J277)),"",ROW()-6)</f>
        <v/>
      </c>
      <c r="B277" s="9" t="inlineStr">
        <is>
          <t>Saucepan</t>
        </is>
      </c>
      <c r="C277" s="8" t="inlineStr">
        <is>
          <t>set</t>
        </is>
      </c>
      <c r="D277" s="10" t="n">
        <v>9</v>
      </c>
      <c r="E277" s="11" t="n">
        <v>60</v>
      </c>
      <c r="F277" s="12">
        <f>IF(AND(D277&lt;&gt;"",E277&lt;&gt;""),D277*E277,"")</f>
        <v/>
      </c>
      <c r="G277" s="13" t="n"/>
      <c r="H277" s="13" t="n">
        <v>100</v>
      </c>
      <c r="I277" s="14" t="inlineStr">
        <is>
          <t>II- Machinery and Equipment</t>
        </is>
      </c>
      <c r="J277" s="9" t="inlineStr"/>
    </row>
    <row r="278">
      <c r="A278" s="8">
        <f>IF(AND(ISBLANK(B278),ISBLANK(C278),ISBLANK(D278),ISBLANK(E278),ISBLANK(G278),ISBLANK(H278),ISBLANK(J278)),"",ROW()-6)</f>
        <v/>
      </c>
      <c r="B278" s="9" t="inlineStr">
        <is>
          <t>Screw Bolt M12</t>
        </is>
      </c>
      <c r="C278" s="8" t="inlineStr">
        <is>
          <t>set</t>
        </is>
      </c>
      <c r="D278" s="10" t="n">
        <v>11100</v>
      </c>
      <c r="E278" s="11" t="n">
        <v>0.3</v>
      </c>
      <c r="F278" s="12">
        <f>IF(AND(D278&lt;&gt;"",E278&lt;&gt;""),D278*E278,"")</f>
        <v/>
      </c>
      <c r="G278" s="13" t="n"/>
      <c r="H278" s="13" t="n">
        <v>100</v>
      </c>
      <c r="I278" s="14" t="inlineStr">
        <is>
          <t>II- Machinery and Equipment</t>
        </is>
      </c>
      <c r="J278" s="9" t="inlineStr"/>
    </row>
    <row r="279">
      <c r="A279" s="8">
        <f>IF(AND(ISBLANK(B279),ISBLANK(C279),ISBLANK(D279),ISBLANK(E279),ISBLANK(G279),ISBLANK(H279),ISBLANK(J279)),"",ROW()-6)</f>
        <v/>
      </c>
      <c r="B279" s="9" t="inlineStr">
        <is>
          <t>Screw Bolt M16</t>
        </is>
      </c>
      <c r="C279" s="8" t="inlineStr">
        <is>
          <t>set</t>
        </is>
      </c>
      <c r="D279" s="10" t="n">
        <v>900</v>
      </c>
      <c r="E279" s="11" t="n">
        <v>0.6</v>
      </c>
      <c r="F279" s="12">
        <f>IF(AND(D279&lt;&gt;"",E279&lt;&gt;""),D279*E279,"")</f>
        <v/>
      </c>
      <c r="G279" s="13" t="n"/>
      <c r="H279" s="13" t="n">
        <v>100</v>
      </c>
      <c r="I279" s="14" t="inlineStr">
        <is>
          <t>II- Machinery and Equipment</t>
        </is>
      </c>
      <c r="J279" s="9" t="inlineStr"/>
    </row>
    <row r="280">
      <c r="A280" s="8">
        <f>IF(AND(ISBLANK(B280),ISBLANK(C280),ISBLANK(D280),ISBLANK(E280),ISBLANK(G280),ISBLANK(H280),ISBLANK(J280)),"",ROW()-6)</f>
        <v/>
      </c>
      <c r="B280" s="9" t="inlineStr">
        <is>
          <t>Screw Bolt M20</t>
        </is>
      </c>
      <c r="C280" s="8" t="inlineStr">
        <is>
          <t>set</t>
        </is>
      </c>
      <c r="D280" s="10" t="n">
        <v>9000</v>
      </c>
      <c r="E280" s="11" t="n">
        <v>0.9</v>
      </c>
      <c r="F280" s="12">
        <f>IF(AND(D280&lt;&gt;"",E280&lt;&gt;""),D280*E280,"")</f>
        <v/>
      </c>
      <c r="G280" s="13" t="n"/>
      <c r="H280" s="13" t="n">
        <v>100</v>
      </c>
      <c r="I280" s="14" t="inlineStr">
        <is>
          <t>II- Machinery and Equipment</t>
        </is>
      </c>
      <c r="J280" s="9" t="inlineStr"/>
    </row>
    <row r="281">
      <c r="A281" s="8">
        <f>IF(AND(ISBLANK(B281),ISBLANK(C281),ISBLANK(D281),ISBLANK(E281),ISBLANK(G281),ISBLANK(H281),ISBLANK(J281)),"",ROW()-6)</f>
        <v/>
      </c>
      <c r="B281" s="9" t="inlineStr">
        <is>
          <t>Screw Nut M12</t>
        </is>
      </c>
      <c r="C281" s="8" t="inlineStr">
        <is>
          <t>pcs</t>
        </is>
      </c>
      <c r="D281" s="10" t="n">
        <v>24000</v>
      </c>
      <c r="E281" s="11" t="n">
        <v>0.2</v>
      </c>
      <c r="F281" s="12">
        <f>IF(AND(D281&lt;&gt;"",E281&lt;&gt;""),D281*E281,"")</f>
        <v/>
      </c>
      <c r="G281" s="13" t="n"/>
      <c r="H281" s="13" t="n">
        <v>100</v>
      </c>
      <c r="I281" s="14" t="inlineStr">
        <is>
          <t>II- Machinery and Equipment</t>
        </is>
      </c>
      <c r="J281" s="9" t="inlineStr"/>
    </row>
    <row r="282">
      <c r="A282" s="8">
        <f>IF(AND(ISBLANK(B282),ISBLANK(C282),ISBLANK(D282),ISBLANK(E282),ISBLANK(G282),ISBLANK(H282),ISBLANK(J282)),"",ROW()-6)</f>
        <v/>
      </c>
      <c r="B282" s="9" t="inlineStr">
        <is>
          <t>Screw Nut M20</t>
        </is>
      </c>
      <c r="C282" s="8" t="inlineStr">
        <is>
          <t>pcs</t>
        </is>
      </c>
      <c r="D282" s="10" t="n">
        <v>15000</v>
      </c>
      <c r="E282" s="11" t="n">
        <v>0.3</v>
      </c>
      <c r="F282" s="12">
        <f>IF(AND(D282&lt;&gt;"",E282&lt;&gt;""),D282*E282,"")</f>
        <v/>
      </c>
      <c r="G282" s="13" t="n"/>
      <c r="H282" s="13" t="n">
        <v>100</v>
      </c>
      <c r="I282" s="14" t="inlineStr">
        <is>
          <t>II- Machinery and Equipment</t>
        </is>
      </c>
      <c r="J282" s="9" t="inlineStr"/>
    </row>
    <row r="283">
      <c r="A283" s="8">
        <f>IF(AND(ISBLANK(B283),ISBLANK(C283),ISBLANK(D283),ISBLANK(E283),ISBLANK(G283),ISBLANK(H283),ISBLANK(J283)),"",ROW()-6)</f>
        <v/>
      </c>
      <c r="B283" s="9" t="inlineStr">
        <is>
          <t>Screwdriver</t>
        </is>
      </c>
      <c r="C283" s="8" t="inlineStr">
        <is>
          <t>pcs</t>
        </is>
      </c>
      <c r="D283" s="10" t="n">
        <v>500</v>
      </c>
      <c r="E283" s="11" t="n">
        <v>0.6</v>
      </c>
      <c r="F283" s="12">
        <f>IF(AND(D283&lt;&gt;"",E283&lt;&gt;""),D283*E283,"")</f>
        <v/>
      </c>
      <c r="G283" s="13" t="n"/>
      <c r="H283" s="13" t="n">
        <v>100</v>
      </c>
      <c r="I283" s="14" t="inlineStr">
        <is>
          <t>II- Machinery and Equipment</t>
        </is>
      </c>
      <c r="J283" s="9" t="inlineStr"/>
    </row>
    <row r="284">
      <c r="A284" s="8">
        <f>IF(AND(ISBLANK(B284),ISBLANK(C284),ISBLANK(D284),ISBLANK(E284),ISBLANK(G284),ISBLANK(H284),ISBLANK(J284)),"",ROW()-6)</f>
        <v/>
      </c>
      <c r="B284" s="9" t="inlineStr">
        <is>
          <t>Screws (Various Sizes)</t>
        </is>
      </c>
      <c r="C284" s="8" t="inlineStr">
        <is>
          <t>kg</t>
        </is>
      </c>
      <c r="D284" s="10" t="n">
        <v>40</v>
      </c>
      <c r="E284" s="11" t="n">
        <v>3</v>
      </c>
      <c r="F284" s="12">
        <f>IF(AND(D284&lt;&gt;"",E284&lt;&gt;""),D284*E284,"")</f>
        <v/>
      </c>
      <c r="G284" s="13" t="n"/>
      <c r="H284" s="13" t="n">
        <v>100</v>
      </c>
      <c r="I284" s="14" t="inlineStr">
        <is>
          <t>II- Machinery and Equipment</t>
        </is>
      </c>
      <c r="J284" s="9" t="inlineStr"/>
    </row>
    <row r="285">
      <c r="A285" s="8">
        <f>IF(AND(ISBLANK(B285),ISBLANK(C285),ISBLANK(D285),ISBLANK(E285),ISBLANK(G285),ISBLANK(H285),ISBLANK(J285)),"",ROW()-6)</f>
        <v/>
      </c>
      <c r="B285" s="9" t="inlineStr">
        <is>
          <t>Sealant</t>
        </is>
      </c>
      <c r="C285" s="8" t="inlineStr">
        <is>
          <t>box</t>
        </is>
      </c>
      <c r="D285" s="10" t="n">
        <v>20</v>
      </c>
      <c r="E285" s="11" t="n">
        <v>100</v>
      </c>
      <c r="F285" s="12">
        <f>IF(AND(D285&lt;&gt;"",E285&lt;&gt;""),D285*E285,"")</f>
        <v/>
      </c>
      <c r="G285" s="13" t="n"/>
      <c r="H285" s="13" t="n">
        <v>100</v>
      </c>
      <c r="I285" s="14" t="inlineStr">
        <is>
          <t>II- Machinery and Equipment</t>
        </is>
      </c>
      <c r="J285" s="9" t="inlineStr"/>
    </row>
    <row r="286">
      <c r="A286" s="8">
        <f>IF(AND(ISBLANK(B286),ISBLANK(C286),ISBLANK(D286),ISBLANK(E286),ISBLANK(G286),ISBLANK(H286),ISBLANK(J286)),"",ROW()-6)</f>
        <v/>
      </c>
      <c r="B286" s="9" t="inlineStr">
        <is>
          <t>Sealant Strip</t>
        </is>
      </c>
      <c r="C286" s="8" t="inlineStr">
        <is>
          <t>m</t>
        </is>
      </c>
      <c r="D286" s="10" t="n">
        <v>2000</v>
      </c>
      <c r="E286" s="11" t="n">
        <v>0.5</v>
      </c>
      <c r="F286" s="12">
        <f>IF(AND(D286&lt;&gt;"",E286&lt;&gt;""),D286*E286,"")</f>
        <v/>
      </c>
      <c r="G286" s="13" t="n"/>
      <c r="H286" s="13" t="n">
        <v>100</v>
      </c>
      <c r="I286" s="14" t="inlineStr">
        <is>
          <t>II- Machinery and Equipment</t>
        </is>
      </c>
      <c r="J286" s="9" t="inlineStr"/>
    </row>
    <row r="287">
      <c r="A287" s="8">
        <f>IF(AND(ISBLANK(B287),ISBLANK(C287),ISBLANK(D287),ISBLANK(E287),ISBLANK(G287),ISBLANK(H287),ISBLANK(J287)),"",ROW()-6)</f>
        <v/>
      </c>
      <c r="B287" s="9" t="inlineStr">
        <is>
          <t>Seat Toilet</t>
        </is>
      </c>
      <c r="C287" s="8" t="inlineStr">
        <is>
          <t>pcs</t>
        </is>
      </c>
      <c r="D287" s="10" t="n">
        <v>6</v>
      </c>
      <c r="E287" s="11" t="n">
        <v>100</v>
      </c>
      <c r="F287" s="12">
        <f>IF(AND(D287&lt;&gt;"",E287&lt;&gt;""),D287*E287,"")</f>
        <v/>
      </c>
      <c r="G287" s="13" t="n"/>
      <c r="H287" s="13" t="n">
        <v>100</v>
      </c>
      <c r="I287" s="14" t="inlineStr">
        <is>
          <t>II- Machinery and Equipment</t>
        </is>
      </c>
      <c r="J287" s="9" t="inlineStr"/>
    </row>
    <row r="288">
      <c r="A288" s="8">
        <f>IF(AND(ISBLANK(B288),ISBLANK(C288),ISBLANK(D288),ISBLANK(E288),ISBLANK(G288),ISBLANK(H288),ISBLANK(J288)),"",ROW()-6)</f>
        <v/>
      </c>
      <c r="B288" s="9" t="inlineStr">
        <is>
          <t>Self Tapping Screw</t>
        </is>
      </c>
      <c r="C288" s="8" t="inlineStr">
        <is>
          <t>pcs</t>
        </is>
      </c>
      <c r="D288" s="10" t="n">
        <v>70000</v>
      </c>
      <c r="E288" s="11" t="n">
        <v>0.05</v>
      </c>
      <c r="F288" s="12">
        <f>IF(AND(D288&lt;&gt;"",E288&lt;&gt;""),D288*E288,"")</f>
        <v/>
      </c>
      <c r="G288" s="13" t="n"/>
      <c r="H288" s="13" t="n">
        <v>100</v>
      </c>
      <c r="I288" s="14" t="inlineStr">
        <is>
          <t>II- Machinery and Equipment</t>
        </is>
      </c>
      <c r="J288" s="9" t="inlineStr"/>
    </row>
    <row r="289">
      <c r="A289" s="8">
        <f>IF(AND(ISBLANK(B289),ISBLANK(C289),ISBLANK(D289),ISBLANK(E289),ISBLANK(G289),ISBLANK(H289),ISBLANK(J289)),"",ROW()-6)</f>
        <v/>
      </c>
      <c r="B289" s="9" t="inlineStr">
        <is>
          <t>Shear Studs</t>
        </is>
      </c>
      <c r="C289" s="8" t="inlineStr">
        <is>
          <t>pcs</t>
        </is>
      </c>
      <c r="D289" s="10" t="n">
        <v>10000</v>
      </c>
      <c r="E289" s="11" t="n">
        <v>0.3</v>
      </c>
      <c r="F289" s="12">
        <f>IF(AND(D289&lt;&gt;"",E289&lt;&gt;""),D289*E289,"")</f>
        <v/>
      </c>
      <c r="G289" s="13" t="n"/>
      <c r="H289" s="13" t="n">
        <v>100</v>
      </c>
      <c r="I289" s="14" t="inlineStr">
        <is>
          <t>II- Machinery and Equipment</t>
        </is>
      </c>
      <c r="J289" s="9" t="inlineStr"/>
    </row>
    <row r="290">
      <c r="A290" s="8">
        <f>IF(AND(ISBLANK(B290),ISBLANK(C290),ISBLANK(D290),ISBLANK(E290),ISBLANK(G290),ISBLANK(H290),ISBLANK(J290)),"",ROW()-6)</f>
        <v/>
      </c>
      <c r="B290" s="9" t="inlineStr">
        <is>
          <t>Shower Faucet</t>
        </is>
      </c>
      <c r="C290" s="8" t="inlineStr">
        <is>
          <t>set</t>
        </is>
      </c>
      <c r="D290" s="10" t="n">
        <v>6</v>
      </c>
      <c r="E290" s="11" t="n">
        <v>20</v>
      </c>
      <c r="F290" s="12">
        <f>IF(AND(D290&lt;&gt;"",E290&lt;&gt;""),D290*E290,"")</f>
        <v/>
      </c>
      <c r="G290" s="13" t="n"/>
      <c r="H290" s="13" t="n">
        <v>100</v>
      </c>
      <c r="I290" s="14" t="inlineStr">
        <is>
          <t>II- Machinery and Equipment</t>
        </is>
      </c>
      <c r="J290" s="9" t="inlineStr"/>
    </row>
    <row r="291">
      <c r="A291" s="8">
        <f>IF(AND(ISBLANK(B291),ISBLANK(C291),ISBLANK(D291),ISBLANK(E291),ISBLANK(G291),ISBLANK(H291),ISBLANK(J291)),"",ROW()-6)</f>
        <v/>
      </c>
      <c r="B291" s="9" t="inlineStr">
        <is>
          <t>Sink</t>
        </is>
      </c>
      <c r="C291" s="8" t="inlineStr">
        <is>
          <t>set</t>
        </is>
      </c>
      <c r="D291" s="10" t="n">
        <v>24</v>
      </c>
      <c r="E291" s="11" t="n">
        <v>35</v>
      </c>
      <c r="F291" s="12">
        <f>IF(AND(D291&lt;&gt;"",E291&lt;&gt;""),D291*E291,"")</f>
        <v/>
      </c>
      <c r="G291" s="13" t="n"/>
      <c r="H291" s="13" t="n">
        <v>100</v>
      </c>
      <c r="I291" s="14" t="inlineStr">
        <is>
          <t>II- Machinery and Equipment</t>
        </is>
      </c>
      <c r="J291" s="9" t="inlineStr"/>
    </row>
    <row r="292">
      <c r="A292" s="8">
        <f>IF(AND(ISBLANK(B292),ISBLANK(C292),ISBLANK(D292),ISBLANK(E292),ISBLANK(G292),ISBLANK(H292),ISBLANK(J292)),"",ROW()-6)</f>
        <v/>
      </c>
      <c r="B292" s="9" t="inlineStr">
        <is>
          <t>Socket</t>
        </is>
      </c>
      <c r="C292" s="8" t="inlineStr">
        <is>
          <t>pcs</t>
        </is>
      </c>
      <c r="D292" s="10" t="n">
        <v>240</v>
      </c>
      <c r="E292" s="11" t="n">
        <v>3</v>
      </c>
      <c r="F292" s="12">
        <f>IF(AND(D292&lt;&gt;"",E292&lt;&gt;""),D292*E292,"")</f>
        <v/>
      </c>
      <c r="G292" s="13" t="n"/>
      <c r="H292" s="13" t="n">
        <v>100</v>
      </c>
      <c r="I292" s="14" t="inlineStr">
        <is>
          <t>II- Machinery and Equipment</t>
        </is>
      </c>
      <c r="J292" s="9" t="inlineStr"/>
    </row>
    <row r="293">
      <c r="A293" s="8">
        <f>IF(AND(ISBLANK(B293),ISBLANK(C293),ISBLANK(D293),ISBLANK(E293),ISBLANK(G293),ISBLANK(H293),ISBLANK(J293)),"",ROW()-6)</f>
        <v/>
      </c>
      <c r="B293" s="9" t="inlineStr">
        <is>
          <t>Solder Wire</t>
        </is>
      </c>
      <c r="C293" s="8" t="inlineStr">
        <is>
          <t>roll</t>
        </is>
      </c>
      <c r="D293" s="10" t="n">
        <v>200</v>
      </c>
      <c r="E293" s="11" t="n">
        <v>35</v>
      </c>
      <c r="F293" s="12">
        <f>IF(AND(D293&lt;&gt;"",E293&lt;&gt;""),D293*E293,"")</f>
        <v/>
      </c>
      <c r="G293" s="13" t="n"/>
      <c r="H293" s="13" t="n">
        <v>100</v>
      </c>
      <c r="I293" s="14" t="inlineStr">
        <is>
          <t>II- Machinery and Equipment</t>
        </is>
      </c>
      <c r="J293" s="9" t="inlineStr"/>
    </row>
    <row r="294">
      <c r="A294" s="8">
        <f>IF(AND(ISBLANK(B294),ISBLANK(C294),ISBLANK(D294),ISBLANK(E294),ISBLANK(G294),ISBLANK(H294),ISBLANK(J294)),"",ROW()-6)</f>
        <v/>
      </c>
      <c r="B294" s="9" t="inlineStr">
        <is>
          <t>Solid Wood Door</t>
        </is>
      </c>
      <c r="C294" s="8" t="inlineStr">
        <is>
          <t>set</t>
        </is>
      </c>
      <c r="D294" s="10" t="n">
        <v>12</v>
      </c>
      <c r="E294" s="11" t="n">
        <v>220</v>
      </c>
      <c r="F294" s="12">
        <f>IF(AND(D294&lt;&gt;"",E294&lt;&gt;""),D294*E294,"")</f>
        <v/>
      </c>
      <c r="G294" s="13" t="n"/>
      <c r="H294" s="13" t="n">
        <v>100</v>
      </c>
      <c r="I294" s="14" t="inlineStr">
        <is>
          <t>II- Machinery and Equipment</t>
        </is>
      </c>
      <c r="J294" s="9" t="inlineStr"/>
    </row>
    <row r="295">
      <c r="A295" s="8">
        <f>IF(AND(ISBLANK(B295),ISBLANK(C295),ISBLANK(D295),ISBLANK(E295),ISBLANK(G295),ISBLANK(H295),ISBLANK(J295)),"",ROW()-6)</f>
        <v/>
      </c>
      <c r="B295" s="9" t="inlineStr">
        <is>
          <t>Square Tube</t>
        </is>
      </c>
      <c r="C295" s="8" t="inlineStr">
        <is>
          <t>kg</t>
        </is>
      </c>
      <c r="D295" s="10" t="n">
        <v>12000</v>
      </c>
      <c r="E295" s="11" t="n">
        <v>0.65</v>
      </c>
      <c r="F295" s="12">
        <f>IF(AND(D295&lt;&gt;"",E295&lt;&gt;""),D295*E295,"")</f>
        <v/>
      </c>
      <c r="G295" s="13" t="n"/>
      <c r="H295" s="13" t="n">
        <v>100</v>
      </c>
      <c r="I295" s="14" t="inlineStr">
        <is>
          <t>II- Machinery and Equipment</t>
        </is>
      </c>
      <c r="J295" s="9" t="inlineStr"/>
    </row>
    <row r="296">
      <c r="A296" s="8">
        <f>IF(AND(ISBLANK(B296),ISBLANK(C296),ISBLANK(D296),ISBLANK(E296),ISBLANK(G296),ISBLANK(H296),ISBLANK(J296)),"",ROW()-6)</f>
        <v/>
      </c>
      <c r="B296" s="9" t="inlineStr">
        <is>
          <t>Squat Toilet</t>
        </is>
      </c>
      <c r="C296" s="8" t="inlineStr">
        <is>
          <t>pcs</t>
        </is>
      </c>
      <c r="D296" s="10" t="n">
        <v>8</v>
      </c>
      <c r="E296" s="11" t="n">
        <v>20</v>
      </c>
      <c r="F296" s="12">
        <f>IF(AND(D296&lt;&gt;"",E296&lt;&gt;""),D296*E296,"")</f>
        <v/>
      </c>
      <c r="G296" s="13" t="n"/>
      <c r="H296" s="13" t="n">
        <v>100</v>
      </c>
      <c r="I296" s="14" t="inlineStr">
        <is>
          <t>II- Machinery and Equipment</t>
        </is>
      </c>
      <c r="J296" s="9" t="inlineStr"/>
    </row>
    <row r="297">
      <c r="A297" s="8">
        <f>IF(AND(ISBLANK(B297),ISBLANK(C297),ISBLANK(D297),ISBLANK(E297),ISBLANK(G297),ISBLANK(H297),ISBLANK(J297)),"",ROW()-6)</f>
        <v/>
      </c>
      <c r="B297" s="9" t="inlineStr">
        <is>
          <t>Stainless Steel Buffet Stove</t>
        </is>
      </c>
      <c r="C297" s="8" t="inlineStr">
        <is>
          <t>pcs</t>
        </is>
      </c>
      <c r="D297" s="10" t="n">
        <v>8</v>
      </c>
      <c r="E297" s="11" t="n">
        <v>60</v>
      </c>
      <c r="F297" s="12">
        <f>IF(AND(D297&lt;&gt;"",E297&lt;&gt;""),D297*E297,"")</f>
        <v/>
      </c>
      <c r="G297" s="13" t="n"/>
      <c r="H297" s="13" t="n">
        <v>100</v>
      </c>
      <c r="I297" s="14" t="inlineStr">
        <is>
          <t>II- Machinery and Equipment</t>
        </is>
      </c>
      <c r="J297" s="9" t="inlineStr"/>
    </row>
    <row r="298">
      <c r="A298" s="8">
        <f>IF(AND(ISBLANK(B298),ISBLANK(C298),ISBLANK(D298),ISBLANK(E298),ISBLANK(G298),ISBLANK(H298),ISBLANK(J298)),"",ROW()-6)</f>
        <v/>
      </c>
      <c r="B298" s="9" t="inlineStr">
        <is>
          <t>Stainless Steel Dining Table</t>
        </is>
      </c>
      <c r="C298" s="8" t="inlineStr">
        <is>
          <t>pcs</t>
        </is>
      </c>
      <c r="D298" s="10" t="n">
        <v>8</v>
      </c>
      <c r="E298" s="11" t="n">
        <v>70</v>
      </c>
      <c r="F298" s="12">
        <f>IF(AND(D298&lt;&gt;"",E298&lt;&gt;""),D298*E298,"")</f>
        <v/>
      </c>
      <c r="G298" s="13" t="n"/>
      <c r="H298" s="13" t="n">
        <v>100</v>
      </c>
      <c r="I298" s="14" t="inlineStr">
        <is>
          <t>II- Machinery and Equipment</t>
        </is>
      </c>
      <c r="J298" s="9" t="inlineStr"/>
    </row>
    <row r="299">
      <c r="A299" s="8">
        <f>IF(AND(ISBLANK(B299),ISBLANK(C299),ISBLANK(D299),ISBLANK(E299),ISBLANK(G299),ISBLANK(H299),ISBLANK(J299)),"",ROW()-6)</f>
        <v/>
      </c>
      <c r="B299" s="9" t="inlineStr">
        <is>
          <t>Stainless Steel Door</t>
        </is>
      </c>
      <c r="C299" s="8" t="inlineStr">
        <is>
          <t>pcs</t>
        </is>
      </c>
      <c r="D299" s="10" t="n">
        <v>30</v>
      </c>
      <c r="E299" s="11" t="n">
        <v>128</v>
      </c>
      <c r="F299" s="12">
        <f>IF(AND(D299&lt;&gt;"",E299&lt;&gt;""),D299*E299,"")</f>
        <v/>
      </c>
      <c r="G299" s="13" t="n"/>
      <c r="H299" s="13" t="n">
        <v>100</v>
      </c>
      <c r="I299" s="14" t="inlineStr">
        <is>
          <t>II- Machinery and Equipment</t>
        </is>
      </c>
      <c r="J299" s="9" t="inlineStr"/>
    </row>
    <row r="300">
      <c r="A300" s="8">
        <f>IF(AND(ISBLANK(B300),ISBLANK(C300),ISBLANK(D300),ISBLANK(E300),ISBLANK(G300),ISBLANK(H300),ISBLANK(J300)),"",ROW()-6)</f>
        <v/>
      </c>
      <c r="B300" s="9" t="inlineStr">
        <is>
          <t>Stainless Steel Downspout</t>
        </is>
      </c>
      <c r="C300" s="8" t="inlineStr">
        <is>
          <t>pcs</t>
        </is>
      </c>
      <c r="D300" s="10" t="n">
        <v>60</v>
      </c>
      <c r="E300" s="11" t="n">
        <v>7.2</v>
      </c>
      <c r="F300" s="12">
        <f>IF(AND(D300&lt;&gt;"",E300&lt;&gt;""),D300*E300,"")</f>
        <v/>
      </c>
      <c r="G300" s="13" t="n"/>
      <c r="H300" s="13" t="n">
        <v>100</v>
      </c>
      <c r="I300" s="14" t="inlineStr">
        <is>
          <t>II- Machinery and Equipment</t>
        </is>
      </c>
      <c r="J300" s="9" t="inlineStr"/>
    </row>
    <row r="301">
      <c r="A301" s="8">
        <f>IF(AND(ISBLANK(B301),ISBLANK(C301),ISBLANK(D301),ISBLANK(E301),ISBLANK(G301),ISBLANK(H301),ISBLANK(J301)),"",ROW()-6)</f>
        <v/>
      </c>
      <c r="B301" s="9" t="inlineStr">
        <is>
          <t>Stainless Steel Gutter</t>
        </is>
      </c>
      <c r="C301" s="8" t="inlineStr">
        <is>
          <t>m</t>
        </is>
      </c>
      <c r="D301" s="10" t="n">
        <v>100</v>
      </c>
      <c r="E301" s="11" t="n">
        <v>28</v>
      </c>
      <c r="F301" s="12">
        <f>IF(AND(D301&lt;&gt;"",E301&lt;&gt;""),D301*E301,"")</f>
        <v/>
      </c>
      <c r="G301" s="13" t="n"/>
      <c r="H301" s="13" t="n">
        <v>100</v>
      </c>
      <c r="I301" s="14" t="inlineStr">
        <is>
          <t>II- Machinery and Equipment</t>
        </is>
      </c>
      <c r="J301" s="9" t="inlineStr"/>
    </row>
    <row r="302">
      <c r="A302" s="8">
        <f>IF(AND(ISBLANK(B302),ISBLANK(C302),ISBLANK(D302),ISBLANK(E302),ISBLANK(G302),ISBLANK(H302),ISBLANK(J302)),"",ROW()-6)</f>
        <v/>
      </c>
      <c r="B302" s="9" t="inlineStr">
        <is>
          <t>Stainless Steel Handrall</t>
        </is>
      </c>
      <c r="C302" s="8" t="inlineStr">
        <is>
          <t>m</t>
        </is>
      </c>
      <c r="D302" s="10" t="n">
        <v>130</v>
      </c>
      <c r="E302" s="11" t="n">
        <v>42</v>
      </c>
      <c r="F302" s="12">
        <f>IF(AND(D302&lt;&gt;"",E302&lt;&gt;""),D302*E302,"")</f>
        <v/>
      </c>
      <c r="G302" s="13" t="n"/>
      <c r="H302" s="13" t="n">
        <v>100</v>
      </c>
      <c r="I302" s="14" t="inlineStr">
        <is>
          <t>II- Machinery and Equipment</t>
        </is>
      </c>
      <c r="J302" s="9" t="inlineStr"/>
    </row>
    <row r="303">
      <c r="A303" s="8">
        <f>IF(AND(ISBLANK(B303),ISBLANK(C303),ISBLANK(D303),ISBLANK(E303),ISBLANK(G303),ISBLANK(H303),ISBLANK(J303)),"",ROW()-6)</f>
        <v/>
      </c>
      <c r="B303" s="9" t="inlineStr">
        <is>
          <t>Stainless Steel Lunch Box</t>
        </is>
      </c>
      <c r="C303" s="8" t="inlineStr">
        <is>
          <t>pcs</t>
        </is>
      </c>
      <c r="D303" s="10" t="n">
        <v>10</v>
      </c>
      <c r="E303" s="11" t="n">
        <v>10</v>
      </c>
      <c r="F303" s="12">
        <f>IF(AND(D303&lt;&gt;"",E303&lt;&gt;""),D303*E303,"")</f>
        <v/>
      </c>
      <c r="G303" s="13" t="n"/>
      <c r="H303" s="13" t="n">
        <v>100</v>
      </c>
      <c r="I303" s="14" t="inlineStr">
        <is>
          <t>II- Machinery and Equipment</t>
        </is>
      </c>
      <c r="J303" s="9" t="inlineStr"/>
    </row>
    <row r="304">
      <c r="A304" s="8">
        <f>IF(AND(ISBLANK(B304),ISBLANK(C304),ISBLANK(D304),ISBLANK(E304),ISBLANK(G304),ISBLANK(H304),ISBLANK(J304)),"",ROW()-6)</f>
        <v/>
      </c>
      <c r="B304" s="9" t="inlineStr">
        <is>
          <t>Stainless Steel Pipe</t>
        </is>
      </c>
      <c r="C304" s="8" t="inlineStr">
        <is>
          <t>kg</t>
        </is>
      </c>
      <c r="D304" s="10" t="n">
        <v>3000</v>
      </c>
      <c r="E304" s="11" t="n">
        <v>2.9</v>
      </c>
      <c r="F304" s="12">
        <f>IF(AND(D304&lt;&gt;"",E304&lt;&gt;""),D304*E304,"")</f>
        <v/>
      </c>
      <c r="G304" s="13" t="n"/>
      <c r="H304" s="13" t="n">
        <v>100</v>
      </c>
      <c r="I304" s="14" t="inlineStr">
        <is>
          <t>II- Machinery and Equipment</t>
        </is>
      </c>
      <c r="J304" s="9" t="inlineStr"/>
    </row>
    <row r="305">
      <c r="A305" s="8">
        <f>IF(AND(ISBLANK(B305),ISBLANK(C305),ISBLANK(D305),ISBLANK(E305),ISBLANK(G305),ISBLANK(H305),ISBLANK(J305)),"",ROW()-6)</f>
        <v/>
      </c>
      <c r="B305" s="9" t="inlineStr">
        <is>
          <t>Stainless Steel Stool</t>
        </is>
      </c>
      <c r="C305" s="8" t="inlineStr">
        <is>
          <t>pcs</t>
        </is>
      </c>
      <c r="D305" s="10" t="n">
        <v>20</v>
      </c>
      <c r="E305" s="11" t="n">
        <v>10</v>
      </c>
      <c r="F305" s="12">
        <f>IF(AND(D305&lt;&gt;"",E305&lt;&gt;""),D305*E305,"")</f>
        <v/>
      </c>
      <c r="G305" s="13" t="n"/>
      <c r="H305" s="13" t="n">
        <v>100</v>
      </c>
      <c r="I305" s="14" t="inlineStr">
        <is>
          <t>II- Machinery and Equipment</t>
        </is>
      </c>
      <c r="J305" s="9" t="inlineStr"/>
    </row>
    <row r="306">
      <c r="A306" s="8">
        <f>IF(AND(ISBLANK(B306),ISBLANK(C306),ISBLANK(D306),ISBLANK(E306),ISBLANK(G306),ISBLANK(H306),ISBLANK(J306)),"",ROW()-6)</f>
        <v/>
      </c>
      <c r="B306" s="9" t="inlineStr">
        <is>
          <t>Stainless Steel Washbasins</t>
        </is>
      </c>
      <c r="C306" s="8" t="inlineStr">
        <is>
          <t>pcs</t>
        </is>
      </c>
      <c r="D306" s="10" t="n">
        <v>10</v>
      </c>
      <c r="E306" s="11" t="n">
        <v>50</v>
      </c>
      <c r="F306" s="12">
        <f>IF(AND(D306&lt;&gt;"",E306&lt;&gt;""),D306*E306,"")</f>
        <v/>
      </c>
      <c r="G306" s="13" t="n"/>
      <c r="H306" s="13" t="n">
        <v>100</v>
      </c>
      <c r="I306" s="14" t="inlineStr">
        <is>
          <t>II- Machinery and Equipment</t>
        </is>
      </c>
      <c r="J306" s="9" t="inlineStr"/>
    </row>
    <row r="307">
      <c r="A307" s="8">
        <f>IF(AND(ISBLANK(B307),ISBLANK(C307),ISBLANK(D307),ISBLANK(E307),ISBLANK(G307),ISBLANK(H307),ISBLANK(J307)),"",ROW()-6)</f>
        <v/>
      </c>
      <c r="B307" s="9" t="inlineStr">
        <is>
          <t>Steel Beam Welding H Steel (350-650) *180*6*8</t>
        </is>
      </c>
      <c r="C307" s="8" t="inlineStr">
        <is>
          <t>kg</t>
        </is>
      </c>
      <c r="D307" s="10" t="n">
        <v>20000</v>
      </c>
      <c r="E307" s="11" t="n">
        <v>0.9</v>
      </c>
      <c r="F307" s="12">
        <f>IF(AND(D307&lt;&gt;"",E307&lt;&gt;""),D307*E307,"")</f>
        <v/>
      </c>
      <c r="G307" s="13" t="n"/>
      <c r="H307" s="13" t="n">
        <v>100</v>
      </c>
      <c r="I307" s="14" t="inlineStr">
        <is>
          <t>II- Machinery and Equipment</t>
        </is>
      </c>
      <c r="J307" s="9" t="inlineStr"/>
    </row>
    <row r="308">
      <c r="A308" s="8">
        <f>IF(AND(ISBLANK(B308),ISBLANK(C308),ISBLANK(D308),ISBLANK(E308),ISBLANK(G308),ISBLANK(H308),ISBLANK(J308)),"",ROW()-6)</f>
        <v/>
      </c>
      <c r="B308" s="9" t="inlineStr">
        <is>
          <t>Steel Casement Door</t>
        </is>
      </c>
      <c r="C308" s="8" t="inlineStr">
        <is>
          <t>set</t>
        </is>
      </c>
      <c r="D308" s="10" t="n">
        <v>5</v>
      </c>
      <c r="E308" s="11" t="n">
        <v>175</v>
      </c>
      <c r="F308" s="12">
        <f>IF(AND(D308&lt;&gt;"",E308&lt;&gt;""),D308*E308,"")</f>
        <v/>
      </c>
      <c r="G308" s="13" t="n"/>
      <c r="H308" s="13" t="n">
        <v>100</v>
      </c>
      <c r="I308" s="14" t="inlineStr">
        <is>
          <t>II- Machinery and Equipment</t>
        </is>
      </c>
      <c r="J308" s="9" t="inlineStr"/>
    </row>
    <row r="309">
      <c r="A309" s="8">
        <f>IF(AND(ISBLANK(B309),ISBLANK(C309),ISBLANK(D309),ISBLANK(E309),ISBLANK(G309),ISBLANK(H309),ISBLANK(J309)),"",ROW()-6)</f>
        <v/>
      </c>
      <c r="B309" s="9" t="inlineStr">
        <is>
          <t>Steel Column "H"</t>
        </is>
      </c>
      <c r="C309" s="8" t="inlineStr">
        <is>
          <t>kg</t>
        </is>
      </c>
      <c r="D309" s="10" t="n">
        <v>40000</v>
      </c>
      <c r="E309" s="11" t="n">
        <v>0.9</v>
      </c>
      <c r="F309" s="12">
        <f>IF(AND(D309&lt;&gt;"",E309&lt;&gt;""),D309*E309,"")</f>
        <v/>
      </c>
      <c r="G309" s="13" t="n"/>
      <c r="H309" s="13" t="n">
        <v>100</v>
      </c>
      <c r="I309" s="14" t="inlineStr">
        <is>
          <t>II- Machinery and Equipment</t>
        </is>
      </c>
      <c r="J309" s="9" t="inlineStr"/>
    </row>
    <row r="310">
      <c r="A310" s="8">
        <f>IF(AND(ISBLANK(B310),ISBLANK(C310),ISBLANK(D310),ISBLANK(E310),ISBLANK(G310),ISBLANK(H310),ISBLANK(J310)),"",ROW()-6)</f>
        <v/>
      </c>
      <c r="B310" s="9" t="inlineStr">
        <is>
          <t>Steel Plate</t>
        </is>
      </c>
      <c r="C310" s="8" t="inlineStr">
        <is>
          <t>kg</t>
        </is>
      </c>
      <c r="D310" s="10" t="n">
        <v>8000</v>
      </c>
      <c r="E310" s="11" t="n">
        <v>0.9</v>
      </c>
      <c r="F310" s="12">
        <f>IF(AND(D310&lt;&gt;"",E310&lt;&gt;""),D310*E310,"")</f>
        <v/>
      </c>
      <c r="G310" s="13" t="n"/>
      <c r="H310" s="13" t="n">
        <v>100</v>
      </c>
      <c r="I310" s="14" t="inlineStr">
        <is>
          <t>II- Machinery and Equipment</t>
        </is>
      </c>
      <c r="J310" s="9" t="inlineStr"/>
    </row>
    <row r="311">
      <c r="A311" s="8">
        <f>IF(AND(ISBLANK(B311),ISBLANK(C311),ISBLANK(D311),ISBLANK(E311),ISBLANK(G311),ISBLANK(H311),ISBLANK(J311)),"",ROW()-6)</f>
        <v/>
      </c>
      <c r="B311" s="9" t="inlineStr">
        <is>
          <t>Steel Wire</t>
        </is>
      </c>
      <c r="C311" s="8" t="inlineStr">
        <is>
          <t>kg</t>
        </is>
      </c>
      <c r="D311" s="10" t="n">
        <v>1000</v>
      </c>
      <c r="E311" s="11" t="n">
        <v>3.5</v>
      </c>
      <c r="F311" s="12">
        <f>IF(AND(D311&lt;&gt;"",E311&lt;&gt;""),D311*E311,"")</f>
        <v/>
      </c>
      <c r="G311" s="13" t="n"/>
      <c r="H311" s="13" t="n">
        <v>100</v>
      </c>
      <c r="I311" s="14" t="inlineStr">
        <is>
          <t>II- Machinery and Equipment</t>
        </is>
      </c>
      <c r="J311" s="9" t="inlineStr"/>
    </row>
    <row r="312">
      <c r="A312" s="8">
        <f>IF(AND(ISBLANK(B312),ISBLANK(C312),ISBLANK(D312),ISBLANK(E312),ISBLANK(G312),ISBLANK(H312),ISBLANK(J312)),"",ROW()-6)</f>
        <v/>
      </c>
      <c r="B312" s="9" t="inlineStr">
        <is>
          <t>Street Lamp Post</t>
        </is>
      </c>
      <c r="C312" s="8" t="inlineStr">
        <is>
          <t>pcs</t>
        </is>
      </c>
      <c r="D312" s="10" t="n">
        <v>5</v>
      </c>
      <c r="E312" s="11" t="n">
        <v>100</v>
      </c>
      <c r="F312" s="12">
        <f>IF(AND(D312&lt;&gt;"",E312&lt;&gt;""),D312*E312,"")</f>
        <v/>
      </c>
      <c r="G312" s="13" t="n"/>
      <c r="H312" s="13" t="n">
        <v>100</v>
      </c>
      <c r="I312" s="14" t="inlineStr">
        <is>
          <t>II- Machinery and Equipment</t>
        </is>
      </c>
      <c r="J312" s="9" t="inlineStr"/>
    </row>
    <row r="313">
      <c r="A313" s="8">
        <f>IF(AND(ISBLANK(B313),ISBLANK(C313),ISBLANK(D313),ISBLANK(E313),ISBLANK(G313),ISBLANK(H313),ISBLANK(J313)),"",ROW()-6)</f>
        <v/>
      </c>
      <c r="B313" s="9" t="inlineStr">
        <is>
          <t>Structural Adhesive</t>
        </is>
      </c>
      <c r="C313" s="8" t="inlineStr">
        <is>
          <t>box</t>
        </is>
      </c>
      <c r="D313" s="10" t="n">
        <v>20</v>
      </c>
      <c r="E313" s="11" t="n">
        <v>100</v>
      </c>
      <c r="F313" s="12">
        <f>IF(AND(D313&lt;&gt;"",E313&lt;&gt;""),D313*E313,"")</f>
        <v/>
      </c>
      <c r="G313" s="13" t="n"/>
      <c r="H313" s="13" t="n">
        <v>100</v>
      </c>
      <c r="I313" s="14" t="inlineStr">
        <is>
          <t>II- Machinery and Equipment</t>
        </is>
      </c>
      <c r="J313" s="9" t="inlineStr"/>
    </row>
    <row r="314">
      <c r="A314" s="8">
        <f>IF(AND(ISBLANK(B314),ISBLANK(C314),ISBLANK(D314),ISBLANK(E314),ISBLANK(G314),ISBLANK(H314),ISBLANK(J314)),"",ROW()-6)</f>
        <v/>
      </c>
      <c r="B314" s="9" t="inlineStr">
        <is>
          <t>Support Spacer</t>
        </is>
      </c>
      <c r="C314" s="8" t="inlineStr">
        <is>
          <t>kg</t>
        </is>
      </c>
      <c r="D314" s="10" t="n">
        <v>240</v>
      </c>
      <c r="E314" s="11" t="n">
        <v>0.8</v>
      </c>
      <c r="F314" s="12">
        <f>IF(AND(D314&lt;&gt;"",E314&lt;&gt;""),D314*E314,"")</f>
        <v/>
      </c>
      <c r="G314" s="13" t="n"/>
      <c r="H314" s="13" t="n">
        <v>100</v>
      </c>
      <c r="I314" s="14" t="inlineStr">
        <is>
          <t>II- Machinery and Equipment</t>
        </is>
      </c>
      <c r="J314" s="9" t="inlineStr"/>
    </row>
    <row r="315">
      <c r="A315" s="8">
        <f>IF(AND(ISBLANK(B315),ISBLANK(C315),ISBLANK(D315),ISBLANK(E315),ISBLANK(G315),ISBLANK(H315),ISBLANK(J315)),"",ROW()-6)</f>
        <v/>
      </c>
      <c r="B315" s="9" t="inlineStr">
        <is>
          <t>Swimming Pool Water Purification Filter</t>
        </is>
      </c>
      <c r="C315" s="8" t="inlineStr">
        <is>
          <t>set</t>
        </is>
      </c>
      <c r="D315" s="10" t="n">
        <v>3</v>
      </c>
      <c r="E315" s="11" t="n">
        <v>100</v>
      </c>
      <c r="F315" s="12">
        <f>IF(AND(D315&lt;&gt;"",E315&lt;&gt;""),D315*E315,"")</f>
        <v/>
      </c>
      <c r="G315" s="13" t="n"/>
      <c r="H315" s="13" t="n">
        <v>100</v>
      </c>
      <c r="I315" s="14" t="inlineStr">
        <is>
          <t>II- Machinery and Equipment</t>
        </is>
      </c>
      <c r="J315" s="9" t="inlineStr"/>
    </row>
    <row r="316">
      <c r="A316" s="8">
        <f>IF(AND(ISBLANK(B316),ISBLANK(C316),ISBLANK(D316),ISBLANK(E316),ISBLANK(G316),ISBLANK(H316),ISBLANK(J316)),"",ROW()-6)</f>
        <v/>
      </c>
      <c r="B316" s="9" t="inlineStr">
        <is>
          <t>Switch</t>
        </is>
      </c>
      <c r="C316" s="8" t="inlineStr">
        <is>
          <t>pcs</t>
        </is>
      </c>
      <c r="D316" s="10" t="n">
        <v>240</v>
      </c>
      <c r="E316" s="11" t="n">
        <v>2.5</v>
      </c>
      <c r="F316" s="12">
        <f>IF(AND(D316&lt;&gt;"",E316&lt;&gt;""),D316*E316,"")</f>
        <v/>
      </c>
      <c r="G316" s="13" t="n"/>
      <c r="H316" s="13" t="n">
        <v>100</v>
      </c>
      <c r="I316" s="14" t="inlineStr">
        <is>
          <t>II- Machinery and Equipment</t>
        </is>
      </c>
      <c r="J316" s="9" t="inlineStr"/>
    </row>
    <row r="317">
      <c r="A317" s="8">
        <f>IF(AND(ISBLANK(B317),ISBLANK(C317),ISBLANK(D317),ISBLANK(E317),ISBLANK(G317),ISBLANK(H317),ISBLANK(J317)),"",ROW()-6)</f>
        <v/>
      </c>
      <c r="B317" s="9" t="inlineStr">
        <is>
          <t>Switch Box</t>
        </is>
      </c>
      <c r="C317" s="8" t="inlineStr">
        <is>
          <t>set</t>
        </is>
      </c>
      <c r="D317" s="10" t="n">
        <v>100</v>
      </c>
      <c r="E317" s="11" t="n">
        <v>10</v>
      </c>
      <c r="F317" s="12">
        <f>IF(AND(D317&lt;&gt;"",E317&lt;&gt;""),D317*E317,"")</f>
        <v/>
      </c>
      <c r="G317" s="13" t="n"/>
      <c r="H317" s="13" t="n">
        <v>100</v>
      </c>
      <c r="I317" s="14" t="inlineStr">
        <is>
          <t>II- Machinery and Equipment</t>
        </is>
      </c>
      <c r="J317" s="9" t="inlineStr"/>
    </row>
    <row r="318">
      <c r="A318" s="8">
        <f>IF(AND(ISBLANK(B318),ISBLANK(C318),ISBLANK(D318),ISBLANK(E318),ISBLANK(G318),ISBLANK(H318),ISBLANK(J318)),"",ROW()-6)</f>
        <v/>
      </c>
      <c r="B318" s="9" t="inlineStr">
        <is>
          <t>Switch Panel (Various Specifications)</t>
        </is>
      </c>
      <c r="C318" s="8" t="inlineStr">
        <is>
          <t>set</t>
        </is>
      </c>
      <c r="D318" s="10" t="n">
        <v>100</v>
      </c>
      <c r="E318" s="11" t="n">
        <v>2</v>
      </c>
      <c r="F318" s="12">
        <f>IF(AND(D318&lt;&gt;"",E318&lt;&gt;""),D318*E318,"")</f>
        <v/>
      </c>
      <c r="G318" s="13" t="n"/>
      <c r="H318" s="13" t="n">
        <v>100</v>
      </c>
      <c r="I318" s="14" t="inlineStr">
        <is>
          <t>II- Machinery and Equipment</t>
        </is>
      </c>
      <c r="J318" s="9" t="inlineStr"/>
    </row>
    <row r="319">
      <c r="A319" s="8">
        <f>IF(AND(ISBLANK(B319),ISBLANK(C319),ISBLANK(D319),ISBLANK(E319),ISBLANK(G319),ISBLANK(H319),ISBLANK(J319)),"",ROW()-6)</f>
        <v/>
      </c>
      <c r="B319" s="9" t="inlineStr">
        <is>
          <t>T5 Fluorescent Lamp</t>
        </is>
      </c>
      <c r="C319" s="8" t="inlineStr">
        <is>
          <t>pcs</t>
        </is>
      </c>
      <c r="D319" s="10" t="n">
        <v>60</v>
      </c>
      <c r="E319" s="11" t="n">
        <v>1</v>
      </c>
      <c r="F319" s="12">
        <f>IF(AND(D319&lt;&gt;"",E319&lt;&gt;""),D319*E319,"")</f>
        <v/>
      </c>
      <c r="G319" s="13" t="n"/>
      <c r="H319" s="13" t="n">
        <v>100</v>
      </c>
      <c r="I319" s="14" t="inlineStr">
        <is>
          <t>II- Machinery and Equipment</t>
        </is>
      </c>
      <c r="J319" s="9" t="inlineStr"/>
    </row>
    <row r="320">
      <c r="A320" s="8">
        <f>IF(AND(ISBLANK(B320),ISBLANK(C320),ISBLANK(D320),ISBLANK(E320),ISBLANK(G320),ISBLANK(H320),ISBLANK(J320)),"",ROW()-6)</f>
        <v/>
      </c>
      <c r="B320" s="9" t="inlineStr">
        <is>
          <t>Temperature Measuring Instrument</t>
        </is>
      </c>
      <c r="C320" s="8" t="inlineStr">
        <is>
          <t>set</t>
        </is>
      </c>
      <c r="D320" s="10" t="n">
        <v>5</v>
      </c>
      <c r="E320" s="11" t="n">
        <v>20</v>
      </c>
      <c r="F320" s="12">
        <f>IF(AND(D320&lt;&gt;"",E320&lt;&gt;""),D320*E320,"")</f>
        <v/>
      </c>
      <c r="G320" s="13" t="n"/>
      <c r="H320" s="13" t="n">
        <v>100</v>
      </c>
      <c r="I320" s="14" t="inlineStr">
        <is>
          <t>II- Machinery and Equipment</t>
        </is>
      </c>
      <c r="J320" s="9" t="inlineStr"/>
    </row>
    <row r="321">
      <c r="A321" s="8">
        <f>IF(AND(ISBLANK(B321),ISBLANK(C321),ISBLANK(D321),ISBLANK(E321),ISBLANK(G321),ISBLANK(H321),ISBLANK(J321)),"",ROW()-6)</f>
        <v/>
      </c>
      <c r="B321" s="9" t="inlineStr">
        <is>
          <t>Tie Rod ∅114*2.0 Steel Pipe</t>
        </is>
      </c>
      <c r="C321" s="8" t="inlineStr">
        <is>
          <t>kg</t>
        </is>
      </c>
      <c r="D321" s="10" t="n">
        <v>5000</v>
      </c>
      <c r="E321" s="11" t="n">
        <v>0.8</v>
      </c>
      <c r="F321" s="12">
        <f>IF(AND(D321&lt;&gt;"",E321&lt;&gt;""),D321*E321,"")</f>
        <v/>
      </c>
      <c r="G321" s="13" t="n"/>
      <c r="H321" s="13" t="n">
        <v>100</v>
      </c>
      <c r="I321" s="14" t="inlineStr">
        <is>
          <t>II- Machinery and Equipment</t>
        </is>
      </c>
      <c r="J321" s="9" t="inlineStr"/>
    </row>
    <row r="322">
      <c r="A322" s="8">
        <f>IF(AND(ISBLANK(B322),ISBLANK(C322),ISBLANK(D322),ISBLANK(E322),ISBLANK(G322),ISBLANK(H322),ISBLANK(J322)),"",ROW()-6)</f>
        <v/>
      </c>
      <c r="B322" s="9" t="inlineStr">
        <is>
          <t>Toilet Partition Panel</t>
        </is>
      </c>
      <c r="C322" s="8" t="inlineStr">
        <is>
          <t>set</t>
        </is>
      </c>
      <c r="D322" s="10" t="n">
        <v>60</v>
      </c>
      <c r="E322" s="11" t="n">
        <v>70</v>
      </c>
      <c r="F322" s="12">
        <f>IF(AND(D322&lt;&gt;"",E322&lt;&gt;""),D322*E322,"")</f>
        <v/>
      </c>
      <c r="G322" s="13" t="n"/>
      <c r="H322" s="13" t="n">
        <v>100</v>
      </c>
      <c r="I322" s="14" t="inlineStr">
        <is>
          <t>II- Machinery and Equipment</t>
        </is>
      </c>
      <c r="J322" s="9" t="inlineStr"/>
    </row>
    <row r="323">
      <c r="A323" s="8">
        <f>IF(AND(ISBLANK(B323),ISBLANK(C323),ISBLANK(D323),ISBLANK(E323),ISBLANK(G323),ISBLANK(H323),ISBLANK(J323)),"",ROW()-6)</f>
        <v/>
      </c>
      <c r="B323" s="9" t="inlineStr">
        <is>
          <t>Transformer</t>
        </is>
      </c>
      <c r="C323" s="8" t="inlineStr">
        <is>
          <t>set</t>
        </is>
      </c>
      <c r="D323" s="10" t="n">
        <v>0.4</v>
      </c>
      <c r="E323" s="11" t="n">
        <v>20000</v>
      </c>
      <c r="F323" s="12">
        <f>IF(AND(D323&lt;&gt;"",E323&lt;&gt;""),D323*E323,"")</f>
        <v/>
      </c>
      <c r="G323" s="13" t="n"/>
      <c r="H323" s="13" t="n">
        <v>100</v>
      </c>
      <c r="I323" s="14" t="inlineStr">
        <is>
          <t>II- Machinery and Equipment</t>
        </is>
      </c>
      <c r="J323" s="9" t="inlineStr"/>
    </row>
    <row r="324">
      <c r="A324" s="8">
        <f>IF(AND(ISBLANK(B324),ISBLANK(C324),ISBLANK(D324),ISBLANK(E324),ISBLANK(G324),ISBLANK(H324),ISBLANK(J324)),"",ROW()-6)</f>
        <v/>
      </c>
      <c r="B324" s="9" t="inlineStr">
        <is>
          <t>Urinal</t>
        </is>
      </c>
      <c r="C324" s="8" t="inlineStr">
        <is>
          <t>set</t>
        </is>
      </c>
      <c r="D324" s="10" t="n">
        <v>20</v>
      </c>
      <c r="E324" s="11" t="n">
        <v>20</v>
      </c>
      <c r="F324" s="12">
        <f>IF(AND(D324&lt;&gt;"",E324&lt;&gt;""),D324*E324,"")</f>
        <v/>
      </c>
      <c r="G324" s="13" t="n"/>
      <c r="H324" s="13" t="n">
        <v>100</v>
      </c>
      <c r="I324" s="14" t="inlineStr">
        <is>
          <t>II- Machinery and Equipment</t>
        </is>
      </c>
      <c r="J324" s="9" t="inlineStr"/>
    </row>
    <row r="325">
      <c r="A325" s="8">
        <f>IF(AND(ISBLANK(B325),ISBLANK(C325),ISBLANK(D325),ISBLANK(E325),ISBLANK(G325),ISBLANK(H325),ISBLANK(J325)),"",ROW()-6)</f>
        <v/>
      </c>
      <c r="B325" s="9" t="inlineStr">
        <is>
          <t>Valve</t>
        </is>
      </c>
      <c r="C325" s="8" t="inlineStr">
        <is>
          <t>pcs</t>
        </is>
      </c>
      <c r="D325" s="10" t="n">
        <v>120</v>
      </c>
      <c r="E325" s="11" t="n">
        <v>10.5</v>
      </c>
      <c r="F325" s="12">
        <f>IF(AND(D325&lt;&gt;"",E325&lt;&gt;""),D325*E325,"")</f>
        <v/>
      </c>
      <c r="G325" s="13" t="n"/>
      <c r="H325" s="13" t="n">
        <v>100</v>
      </c>
      <c r="I325" s="14" t="inlineStr">
        <is>
          <t>II- Machinery and Equipment</t>
        </is>
      </c>
      <c r="J325" s="9" t="inlineStr"/>
    </row>
    <row r="326">
      <c r="A326" s="8">
        <f>IF(AND(ISBLANK(B326),ISBLANK(C326),ISBLANK(D326),ISBLANK(E326),ISBLANK(G326),ISBLANK(H326),ISBLANK(J326)),"",ROW()-6)</f>
        <v/>
      </c>
      <c r="B326" s="9" t="inlineStr">
        <is>
          <t>Vegetable Washing Basin</t>
        </is>
      </c>
      <c r="C326" s="8" t="inlineStr">
        <is>
          <t>pcs</t>
        </is>
      </c>
      <c r="D326" s="10" t="n">
        <v>20</v>
      </c>
      <c r="E326" s="11" t="n">
        <v>10</v>
      </c>
      <c r="F326" s="12">
        <f>IF(AND(D326&lt;&gt;"",E326&lt;&gt;""),D326*E326,"")</f>
        <v/>
      </c>
      <c r="G326" s="13" t="n"/>
      <c r="H326" s="13" t="n">
        <v>100</v>
      </c>
      <c r="I326" s="14" t="inlineStr">
        <is>
          <t>II- Machinery and Equipment</t>
        </is>
      </c>
      <c r="J326" s="9" t="inlineStr"/>
    </row>
    <row r="327">
      <c r="A327" s="8">
        <f>IF(AND(ISBLANK(B327),ISBLANK(C327),ISBLANK(D327),ISBLANK(E327),ISBLANK(G327),ISBLANK(H327),ISBLANK(J327)),"",ROW()-6)</f>
        <v/>
      </c>
      <c r="B327" s="9" t="inlineStr">
        <is>
          <t>Video Conferencing System Equipment</t>
        </is>
      </c>
      <c r="C327" s="8" t="inlineStr">
        <is>
          <t>set</t>
        </is>
      </c>
      <c r="D327" s="10" t="n">
        <v>1</v>
      </c>
      <c r="E327" s="11" t="n">
        <v>500</v>
      </c>
      <c r="F327" s="12">
        <f>IF(AND(D327&lt;&gt;"",E327&lt;&gt;""),D327*E327,"")</f>
        <v/>
      </c>
      <c r="G327" s="13" t="n"/>
      <c r="H327" s="13" t="n">
        <v>100</v>
      </c>
      <c r="I327" s="14" t="inlineStr">
        <is>
          <t>II- Machinery and Equipment</t>
        </is>
      </c>
      <c r="J327" s="9" t="inlineStr"/>
    </row>
    <row r="328">
      <c r="A328" s="8">
        <f>IF(AND(ISBLANK(B328),ISBLANK(C328),ISBLANK(D328),ISBLANK(E328),ISBLANK(G328),ISBLANK(H328),ISBLANK(J328)),"",ROW()-6)</f>
        <v/>
      </c>
      <c r="B328" s="9" t="inlineStr">
        <is>
          <t>Voltage Regulator</t>
        </is>
      </c>
      <c r="C328" s="8" t="inlineStr">
        <is>
          <t>set</t>
        </is>
      </c>
      <c r="D328" s="10" t="n">
        <v>1</v>
      </c>
      <c r="E328" s="11" t="n">
        <v>2000</v>
      </c>
      <c r="F328" s="12">
        <f>IF(AND(D328&lt;&gt;"",E328&lt;&gt;""),D328*E328,"")</f>
        <v/>
      </c>
      <c r="G328" s="13" t="n"/>
      <c r="H328" s="13" t="n">
        <v>100</v>
      </c>
      <c r="I328" s="14" t="inlineStr">
        <is>
          <t>II- Machinery and Equipment</t>
        </is>
      </c>
      <c r="J328" s="9" t="inlineStr"/>
    </row>
    <row r="329">
      <c r="A329" s="8">
        <f>IF(AND(ISBLANK(B329),ISBLANK(C329),ISBLANK(D329),ISBLANK(E329),ISBLANK(G329),ISBLANK(H329),ISBLANK(J329)),"",ROW()-6)</f>
        <v/>
      </c>
      <c r="B329" s="9" t="inlineStr">
        <is>
          <t>Wall Bar ∅10 Steel Bar</t>
        </is>
      </c>
      <c r="C329" s="8" t="inlineStr">
        <is>
          <t>kg</t>
        </is>
      </c>
      <c r="D329" s="10" t="n">
        <v>600</v>
      </c>
      <c r="E329" s="11" t="n">
        <v>0.8</v>
      </c>
      <c r="F329" s="12">
        <f>IF(AND(D329&lt;&gt;"",E329&lt;&gt;""),D329*E329,"")</f>
        <v/>
      </c>
      <c r="G329" s="13" t="n"/>
      <c r="H329" s="13" t="n">
        <v>100</v>
      </c>
      <c r="I329" s="14" t="inlineStr">
        <is>
          <t>II- Machinery and Equipment</t>
        </is>
      </c>
      <c r="J329" s="9" t="inlineStr"/>
    </row>
    <row r="330">
      <c r="A330" s="8">
        <f>IF(AND(ISBLANK(B330),ISBLANK(C330),ISBLANK(D330),ISBLANK(E330),ISBLANK(G330),ISBLANK(H330),ISBLANK(J330)),"",ROW()-6)</f>
        <v/>
      </c>
      <c r="B330" s="9" t="inlineStr">
        <is>
          <t>Wall Fan</t>
        </is>
      </c>
      <c r="C330" s="8" t="inlineStr">
        <is>
          <t>set</t>
        </is>
      </c>
      <c r="D330" s="10" t="n">
        <v>10</v>
      </c>
      <c r="E330" s="11" t="n">
        <v>29</v>
      </c>
      <c r="F330" s="12">
        <f>IF(AND(D330&lt;&gt;"",E330&lt;&gt;""),D330*E330,"")</f>
        <v/>
      </c>
      <c r="G330" s="13" t="n"/>
      <c r="H330" s="13" t="n">
        <v>100</v>
      </c>
      <c r="I330" s="14" t="inlineStr">
        <is>
          <t>II- Machinery and Equipment</t>
        </is>
      </c>
      <c r="J330" s="9" t="inlineStr"/>
    </row>
    <row r="331">
      <c r="A331" s="8">
        <f>IF(AND(ISBLANK(B331),ISBLANK(C331),ISBLANK(D331),ISBLANK(E331),ISBLANK(G331),ISBLANK(H331),ISBLANK(J331)),"",ROW()-6)</f>
        <v/>
      </c>
      <c r="B331" s="9" t="inlineStr">
        <is>
          <t>Wall Purlin C160*60*20*2.0</t>
        </is>
      </c>
      <c r="C331" s="8" t="inlineStr">
        <is>
          <t>kg</t>
        </is>
      </c>
      <c r="D331" s="10" t="n">
        <v>5000</v>
      </c>
      <c r="E331" s="11" t="n">
        <v>0.72</v>
      </c>
      <c r="F331" s="12">
        <f>IF(AND(D331&lt;&gt;"",E331&lt;&gt;""),D331*E331,"")</f>
        <v/>
      </c>
      <c r="G331" s="13" t="n"/>
      <c r="H331" s="13" t="n">
        <v>100</v>
      </c>
      <c r="I331" s="14" t="inlineStr">
        <is>
          <t>II- Machinery and Equipment</t>
        </is>
      </c>
      <c r="J331" s="9" t="inlineStr"/>
    </row>
    <row r="332">
      <c r="A332" s="8">
        <f>IF(AND(ISBLANK(B332),ISBLANK(C332),ISBLANK(D332),ISBLANK(E332),ISBLANK(G332),ISBLANK(H332),ISBLANK(J332)),"",ROW()-6)</f>
        <v/>
      </c>
      <c r="B332" s="9" t="inlineStr">
        <is>
          <t>Wall Tiles</t>
        </is>
      </c>
      <c r="C332" s="8" t="inlineStr">
        <is>
          <t>kg</t>
        </is>
      </c>
      <c r="D332" s="10" t="n">
        <v>500</v>
      </c>
      <c r="E332" s="11" t="n">
        <v>7.5</v>
      </c>
      <c r="F332" s="12">
        <f>IF(AND(D332&lt;&gt;"",E332&lt;&gt;""),D332*E332,"")</f>
        <v/>
      </c>
      <c r="G332" s="13" t="n"/>
      <c r="H332" s="13" t="n">
        <v>100</v>
      </c>
      <c r="I332" s="14" t="inlineStr">
        <is>
          <t>II- Machinery and Equipment</t>
        </is>
      </c>
      <c r="J332" s="9" t="inlineStr"/>
    </row>
    <row r="333">
      <c r="A333" s="8">
        <f>IF(AND(ISBLANK(B333),ISBLANK(C333),ISBLANK(D333),ISBLANK(E333),ISBLANK(G333),ISBLANK(H333),ISBLANK(J333)),"",ROW()-6)</f>
        <v/>
      </c>
      <c r="B333" s="9" t="inlineStr">
        <is>
          <t>Wardrobe</t>
        </is>
      </c>
      <c r="C333" s="8" t="inlineStr">
        <is>
          <t>set</t>
        </is>
      </c>
      <c r="D333" s="10" t="n">
        <v>4</v>
      </c>
      <c r="E333" s="11" t="n">
        <v>40</v>
      </c>
      <c r="F333" s="12">
        <f>IF(AND(D333&lt;&gt;"",E333&lt;&gt;""),D333*E333,"")</f>
        <v/>
      </c>
      <c r="G333" s="13" t="n"/>
      <c r="H333" s="13" t="n">
        <v>100</v>
      </c>
      <c r="I333" s="14" t="inlineStr">
        <is>
          <t>II- Machinery and Equipment</t>
        </is>
      </c>
      <c r="J333" s="9" t="inlineStr"/>
    </row>
    <row r="334">
      <c r="A334" s="8">
        <f>IF(AND(ISBLANK(B334),ISBLANK(C334),ISBLANK(D334),ISBLANK(E334),ISBLANK(G334),ISBLANK(H334),ISBLANK(J334)),"",ROW()-6)</f>
        <v/>
      </c>
      <c r="B334" s="9" t="inlineStr">
        <is>
          <t>Water Band</t>
        </is>
      </c>
      <c r="C334" s="8" t="inlineStr">
        <is>
          <t>pcs</t>
        </is>
      </c>
      <c r="D334" s="10" t="n">
        <v>36</v>
      </c>
      <c r="E334" s="11" t="n">
        <v>18</v>
      </c>
      <c r="F334" s="12">
        <f>IF(AND(D334&lt;&gt;"",E334&lt;&gt;""),D334*E334,"")</f>
        <v/>
      </c>
      <c r="G334" s="13" t="n"/>
      <c r="H334" s="13" t="n">
        <v>100</v>
      </c>
      <c r="I334" s="14" t="inlineStr">
        <is>
          <t>II- Machinery and Equipment</t>
        </is>
      </c>
      <c r="J334" s="9" t="inlineStr"/>
    </row>
    <row r="335">
      <c r="A335" s="8">
        <f>IF(AND(ISBLANK(B335),ISBLANK(C335),ISBLANK(D335),ISBLANK(E335),ISBLANK(G335),ISBLANK(H335),ISBLANK(J335)),"",ROW()-6)</f>
        <v/>
      </c>
      <c r="B335" s="9" t="inlineStr">
        <is>
          <t>Water Gun</t>
        </is>
      </c>
      <c r="C335" s="8" t="inlineStr">
        <is>
          <t>pcs</t>
        </is>
      </c>
      <c r="D335" s="10" t="n">
        <v>50</v>
      </c>
      <c r="E335" s="11" t="n">
        <v>2.5</v>
      </c>
      <c r="F335" s="12">
        <f>IF(AND(D335&lt;&gt;"",E335&lt;&gt;""),D335*E335,"")</f>
        <v/>
      </c>
      <c r="G335" s="13" t="n"/>
      <c r="H335" s="13" t="n">
        <v>100</v>
      </c>
      <c r="I335" s="14" t="inlineStr">
        <is>
          <t>II- Machinery and Equipment</t>
        </is>
      </c>
      <c r="J335" s="9" t="inlineStr"/>
    </row>
    <row r="336">
      <c r="A336" s="8">
        <f>IF(AND(ISBLANK(B336),ISBLANK(C336),ISBLANK(D336),ISBLANK(E336),ISBLANK(G336),ISBLANK(H336),ISBLANK(J336)),"",ROW()-6)</f>
        <v/>
      </c>
      <c r="B336" s="9" t="inlineStr">
        <is>
          <t>Water Heater</t>
        </is>
      </c>
      <c r="C336" s="8" t="inlineStr">
        <is>
          <t>set</t>
        </is>
      </c>
      <c r="D336" s="10" t="n">
        <v>12</v>
      </c>
      <c r="E336" s="11" t="n">
        <v>48</v>
      </c>
      <c r="F336" s="12">
        <f>IF(AND(D336&lt;&gt;"",E336&lt;&gt;""),D336*E336,"")</f>
        <v/>
      </c>
      <c r="G336" s="13" t="n"/>
      <c r="H336" s="13" t="n">
        <v>100</v>
      </c>
      <c r="I336" s="14" t="inlineStr">
        <is>
          <t>II- Machinery and Equipment</t>
        </is>
      </c>
      <c r="J336" s="9" t="inlineStr"/>
    </row>
    <row r="337">
      <c r="A337" s="8">
        <f>IF(AND(ISBLANK(B337),ISBLANK(C337),ISBLANK(D337),ISBLANK(E337),ISBLANK(G337),ISBLANK(H337),ISBLANK(J337)),"",ROW()-6)</f>
        <v/>
      </c>
      <c r="B337" s="9" t="inlineStr">
        <is>
          <t>Water Pipes (Various Sizes Of PVC)</t>
        </is>
      </c>
      <c r="C337" s="8" t="inlineStr">
        <is>
          <t>pcs</t>
        </is>
      </c>
      <c r="D337" s="10" t="n">
        <v>98</v>
      </c>
      <c r="E337" s="11" t="n">
        <v>1</v>
      </c>
      <c r="F337" s="12">
        <f>IF(AND(D337&lt;&gt;"",E337&lt;&gt;""),D337*E337,"")</f>
        <v/>
      </c>
      <c r="G337" s="13" t="n"/>
      <c r="H337" s="13" t="n">
        <v>100</v>
      </c>
      <c r="I337" s="14" t="inlineStr">
        <is>
          <t>II- Machinery and Equipment</t>
        </is>
      </c>
      <c r="J337" s="9" t="inlineStr"/>
    </row>
    <row r="338">
      <c r="A338" s="8">
        <f>IF(AND(ISBLANK(B338),ISBLANK(C338),ISBLANK(D338),ISBLANK(E338),ISBLANK(G338),ISBLANK(H338),ISBLANK(J338)),"",ROW()-6)</f>
        <v/>
      </c>
      <c r="B338" s="9" t="inlineStr">
        <is>
          <t>Water Pump</t>
        </is>
      </c>
      <c r="C338" s="8" t="inlineStr">
        <is>
          <t>pcs</t>
        </is>
      </c>
      <c r="D338" s="10" t="n">
        <v>1</v>
      </c>
      <c r="E338" s="11" t="n">
        <v>250</v>
      </c>
      <c r="F338" s="12">
        <f>IF(AND(D338&lt;&gt;"",E338&lt;&gt;""),D338*E338,"")</f>
        <v/>
      </c>
      <c r="G338" s="13" t="n"/>
      <c r="H338" s="13" t="n">
        <v>100</v>
      </c>
      <c r="I338" s="14" t="inlineStr">
        <is>
          <t>II- Machinery and Equipment</t>
        </is>
      </c>
      <c r="J338" s="9" t="inlineStr"/>
    </row>
    <row r="339">
      <c r="A339" s="8">
        <f>IF(AND(ISBLANK(B339),ISBLANK(C339),ISBLANK(D339),ISBLANK(E339),ISBLANK(G339),ISBLANK(H339),ISBLANK(J339)),"",ROW()-6)</f>
        <v/>
      </c>
      <c r="B339" s="9" t="inlineStr">
        <is>
          <t>Water Purification Filter</t>
        </is>
      </c>
      <c r="C339" s="8" t="inlineStr">
        <is>
          <t>pcs</t>
        </is>
      </c>
      <c r="D339" s="10" t="n">
        <v>1</v>
      </c>
      <c r="E339" s="11" t="n">
        <v>2000</v>
      </c>
      <c r="F339" s="12">
        <f>IF(AND(D339&lt;&gt;"",E339&lt;&gt;""),D339*E339,"")</f>
        <v/>
      </c>
      <c r="G339" s="13" t="n"/>
      <c r="H339" s="13" t="n">
        <v>100</v>
      </c>
      <c r="I339" s="14" t="inlineStr">
        <is>
          <t>II- Machinery and Equipment</t>
        </is>
      </c>
      <c r="J339" s="9" t="inlineStr"/>
    </row>
    <row r="340">
      <c r="A340" s="8">
        <f>IF(AND(ISBLANK(B340),ISBLANK(C340),ISBLANK(D340),ISBLANK(E340),ISBLANK(G340),ISBLANK(H340),ISBLANK(J340)),"",ROW()-6)</f>
        <v/>
      </c>
      <c r="B340" s="9" t="inlineStr">
        <is>
          <t>Water Suction Pump</t>
        </is>
      </c>
      <c r="C340" s="8" t="inlineStr">
        <is>
          <t>set</t>
        </is>
      </c>
      <c r="D340" s="10" t="n">
        <v>4</v>
      </c>
      <c r="E340" s="11" t="n">
        <v>85</v>
      </c>
      <c r="F340" s="12">
        <f>IF(AND(D340&lt;&gt;"",E340&lt;&gt;""),D340*E340,"")</f>
        <v/>
      </c>
      <c r="G340" s="13" t="n"/>
      <c r="H340" s="13" t="n">
        <v>100</v>
      </c>
      <c r="I340" s="14" t="inlineStr">
        <is>
          <t>II- Machinery and Equipment</t>
        </is>
      </c>
      <c r="J340" s="9" t="inlineStr"/>
    </row>
    <row r="341">
      <c r="A341" s="8">
        <f>IF(AND(ISBLANK(B341),ISBLANK(C341),ISBLANK(D341),ISBLANK(E341),ISBLANK(G341),ISBLANK(H341),ISBLANK(J341)),"",ROW()-6)</f>
        <v/>
      </c>
      <c r="B341" s="9" t="inlineStr">
        <is>
          <t>Water-Based Paint</t>
        </is>
      </c>
      <c r="C341" s="8" t="inlineStr">
        <is>
          <t>kg</t>
        </is>
      </c>
      <c r="D341" s="10" t="n">
        <v>10000</v>
      </c>
      <c r="E341" s="11" t="n">
        <v>0.5</v>
      </c>
      <c r="F341" s="12">
        <f>IF(AND(D341&lt;&gt;"",E341&lt;&gt;""),D341*E341,"")</f>
        <v/>
      </c>
      <c r="G341" s="13" t="n"/>
      <c r="H341" s="13" t="n">
        <v>100</v>
      </c>
      <c r="I341" s="14" t="inlineStr">
        <is>
          <t>II- Machinery and Equipment</t>
        </is>
      </c>
      <c r="J341" s="9" t="inlineStr"/>
    </row>
    <row r="342">
      <c r="A342" s="8">
        <f>IF(AND(ISBLANK(B342),ISBLANK(C342),ISBLANK(D342),ISBLANK(E342),ISBLANK(G342),ISBLANK(H342),ISBLANK(J342)),"",ROW()-6)</f>
        <v/>
      </c>
      <c r="B342" s="9" t="inlineStr">
        <is>
          <t>Waterproof Material</t>
        </is>
      </c>
      <c r="C342" s="8" t="inlineStr">
        <is>
          <t>kg</t>
        </is>
      </c>
      <c r="D342" s="10" t="n">
        <v>40000</v>
      </c>
      <c r="E342" s="11" t="n">
        <v>0.15</v>
      </c>
      <c r="F342" s="12">
        <f>IF(AND(D342&lt;&gt;"",E342&lt;&gt;""),D342*E342,"")</f>
        <v/>
      </c>
      <c r="G342" s="13" t="n"/>
      <c r="H342" s="13" t="n">
        <v>100</v>
      </c>
      <c r="I342" s="14" t="inlineStr">
        <is>
          <t>II- Machinery and Equipment</t>
        </is>
      </c>
      <c r="J342" s="9" t="inlineStr"/>
    </row>
    <row r="343">
      <c r="A343" s="8">
        <f>IF(AND(ISBLANK(B343),ISBLANK(C343),ISBLANK(D343),ISBLANK(E343),ISBLANK(G343),ISBLANK(H343),ISBLANK(J343)),"",ROW()-6)</f>
        <v/>
      </c>
      <c r="B343" s="9" t="inlineStr">
        <is>
          <t>Electric Welding Machine</t>
        </is>
      </c>
      <c r="C343" s="8" t="inlineStr">
        <is>
          <t>set</t>
        </is>
      </c>
      <c r="D343" s="10" t="n">
        <v>4</v>
      </c>
      <c r="E343" s="11" t="n">
        <v>170</v>
      </c>
      <c r="F343" s="12">
        <f>IF(AND(D343&lt;&gt;"",E343&lt;&gt;""),D343*E343,"")</f>
        <v/>
      </c>
      <c r="G343" s="13" t="n"/>
      <c r="H343" s="13" t="n">
        <v>100</v>
      </c>
      <c r="I343" s="14" t="inlineStr">
        <is>
          <t>II- Machinery and Equipment</t>
        </is>
      </c>
      <c r="J343" s="9" t="inlineStr"/>
    </row>
    <row r="344">
      <c r="A344" s="8">
        <f>IF(AND(ISBLANK(B344),ISBLANK(C344),ISBLANK(D344),ISBLANK(E344),ISBLANK(G344),ISBLANK(H344),ISBLANK(J344)),"",ROW()-6)</f>
        <v/>
      </c>
      <c r="B344" s="9" t="inlineStr">
        <is>
          <t>Welding Rod</t>
        </is>
      </c>
      <c r="C344" s="8" t="inlineStr">
        <is>
          <t>kg</t>
        </is>
      </c>
      <c r="D344" s="10" t="n">
        <v>46</v>
      </c>
      <c r="E344" s="11" t="n">
        <v>15</v>
      </c>
      <c r="F344" s="12">
        <f>IF(AND(D344&lt;&gt;"",E344&lt;&gt;""),D344*E344,"")</f>
        <v/>
      </c>
      <c r="G344" s="13" t="n"/>
      <c r="H344" s="13" t="n">
        <v>100</v>
      </c>
      <c r="I344" s="14" t="inlineStr">
        <is>
          <t>II- Machinery and Equipment</t>
        </is>
      </c>
      <c r="J344" s="9" t="inlineStr"/>
    </row>
    <row r="345">
      <c r="A345" s="8">
        <f>IF(AND(ISBLANK(B345),ISBLANK(C345),ISBLANK(D345),ISBLANK(E345),ISBLANK(G345),ISBLANK(H345),ISBLANK(J345)),"",ROW()-6)</f>
        <v/>
      </c>
      <c r="B345" s="9" t="inlineStr">
        <is>
          <t>White Cement</t>
        </is>
      </c>
      <c r="C345" s="8" t="inlineStr">
        <is>
          <t>kg</t>
        </is>
      </c>
      <c r="D345" s="10" t="n">
        <v>5000</v>
      </c>
      <c r="E345" s="11" t="n">
        <v>0.12</v>
      </c>
      <c r="F345" s="12">
        <f>IF(AND(D345&lt;&gt;"",E345&lt;&gt;""),D345*E345,"")</f>
        <v/>
      </c>
      <c r="G345" s="13" t="n"/>
      <c r="H345" s="13" t="n">
        <v>100</v>
      </c>
      <c r="I345" s="14" t="inlineStr">
        <is>
          <t>II- Machinery and Equipment</t>
        </is>
      </c>
      <c r="J345" s="9" t="inlineStr"/>
    </row>
    <row r="346">
      <c r="A346" s="8">
        <f>IF(AND(ISBLANK(B346),ISBLANK(C346),ISBLANK(D346),ISBLANK(E346),ISBLANK(G346),ISBLANK(H346),ISBLANK(J346)),"",ROW()-6)</f>
        <v/>
      </c>
      <c r="B346" s="9" t="inlineStr">
        <is>
          <t>Cable</t>
        </is>
      </c>
      <c r="C346" s="8" t="inlineStr">
        <is>
          <t>m</t>
        </is>
      </c>
      <c r="D346" s="10" t="n">
        <v>330</v>
      </c>
      <c r="E346" s="11" t="n">
        <v>58.6</v>
      </c>
      <c r="F346" s="12">
        <f>IF(AND(D346&lt;&gt;"",E346&lt;&gt;""),D346*E346,"")</f>
        <v/>
      </c>
      <c r="G346" s="13" t="n"/>
      <c r="H346" s="13" t="n">
        <v>100</v>
      </c>
      <c r="I346" s="14" t="inlineStr">
        <is>
          <t>II- Machinery and Equipment</t>
        </is>
      </c>
      <c r="J346" s="9" t="inlineStr"/>
    </row>
    <row r="347">
      <c r="A347" s="8">
        <f>IF(AND(ISBLANK(B347),ISBLANK(C347),ISBLANK(D347),ISBLANK(E347),ISBLANK(G347),ISBLANK(H347),ISBLANK(J347)),"",ROW()-6)</f>
        <v/>
      </c>
      <c r="B347" s="9" t="inlineStr">
        <is>
          <t>Wrench</t>
        </is>
      </c>
      <c r="C347" s="8" t="inlineStr">
        <is>
          <t>pcs</t>
        </is>
      </c>
      <c r="D347" s="10" t="n">
        <v>150</v>
      </c>
      <c r="E347" s="11" t="n">
        <v>1</v>
      </c>
      <c r="F347" s="12">
        <f>IF(AND(D347&lt;&gt;"",E347&lt;&gt;""),D347*E347,"")</f>
        <v/>
      </c>
      <c r="G347" s="13" t="n"/>
      <c r="H347" s="13" t="n">
        <v>100</v>
      </c>
      <c r="I347" s="14" t="inlineStr">
        <is>
          <t>II- Machinery and Equipment</t>
        </is>
      </c>
      <c r="J347" s="9" t="inlineStr"/>
    </row>
    <row r="348">
      <c r="A348" s="8">
        <f>IF(AND(ISBLANK(B348),ISBLANK(C348),ISBLANK(D348),ISBLANK(E348),ISBLANK(G348),ISBLANK(H348),ISBLANK(J348)),"",ROW()-6)</f>
        <v/>
      </c>
      <c r="B348" s="9" t="inlineStr">
        <is>
          <t>Wind Beater</t>
        </is>
      </c>
      <c r="C348" s="8" t="inlineStr">
        <is>
          <t>pcs</t>
        </is>
      </c>
      <c r="D348" s="10" t="n">
        <v>10</v>
      </c>
      <c r="E348" s="11" t="n">
        <v>20</v>
      </c>
      <c r="F348" s="12">
        <f>IF(AND(D348&lt;&gt;"",E348&lt;&gt;""),D348*E348,"")</f>
        <v/>
      </c>
      <c r="G348" s="13" t="n"/>
      <c r="H348" s="13" t="n">
        <v>100</v>
      </c>
      <c r="I348" s="14" t="inlineStr">
        <is>
          <t>II- Machinery and Equipment</t>
        </is>
      </c>
      <c r="J348" s="9" t="inlineStr"/>
    </row>
    <row r="349">
      <c r="A349" s="8">
        <f>IF(AND(ISBLANK(B349),ISBLANK(C349),ISBLANK(D349),ISBLANK(E349),ISBLANK(G349),ISBLANK(H349),ISBLANK(J349)),"",ROW()-6)</f>
        <v/>
      </c>
      <c r="B349" s="9" t="inlineStr">
        <is>
          <t>Winding Support</t>
        </is>
      </c>
      <c r="C349" s="8" t="inlineStr">
        <is>
          <t>m</t>
        </is>
      </c>
      <c r="D349" s="10" t="n">
        <v>5000</v>
      </c>
      <c r="E349" s="11" t="n">
        <v>0.03</v>
      </c>
      <c r="F349" s="12">
        <f>IF(AND(D349&lt;&gt;"",E349&lt;&gt;""),D349*E349,"")</f>
        <v/>
      </c>
      <c r="G349" s="13" t="n"/>
      <c r="H349" s="13" t="n">
        <v>100</v>
      </c>
      <c r="I349" s="14" t="inlineStr">
        <is>
          <t>II- Machinery and Equipment</t>
        </is>
      </c>
      <c r="J349" s="9" t="inlineStr"/>
    </row>
    <row r="350">
      <c r="A350" s="8">
        <f>IF(AND(ISBLANK(B350),ISBLANK(C350),ISBLANK(D350),ISBLANK(E350),ISBLANK(G350),ISBLANK(H350),ISBLANK(J350)),"",ROW()-6)</f>
        <v/>
      </c>
      <c r="B350" s="9" t="inlineStr">
        <is>
          <t>Windows And Doors Edge</t>
        </is>
      </c>
      <c r="C350" s="8" t="inlineStr">
        <is>
          <t>m</t>
        </is>
      </c>
      <c r="D350" s="10" t="n">
        <v>2600</v>
      </c>
      <c r="E350" s="11" t="n">
        <v>2.5</v>
      </c>
      <c r="F350" s="12">
        <f>IF(AND(D350&lt;&gt;"",E350&lt;&gt;""),D350*E350,"")</f>
        <v/>
      </c>
      <c r="G350" s="13" t="n"/>
      <c r="H350" s="13" t="n">
        <v>100</v>
      </c>
      <c r="I350" s="14" t="inlineStr">
        <is>
          <t>II- Machinery and Equipment</t>
        </is>
      </c>
      <c r="J350" s="9" t="inlineStr"/>
    </row>
    <row r="351">
      <c r="A351" s="8">
        <f>IF(AND(ISBLANK(B351),ISBLANK(C351),ISBLANK(D351),ISBLANK(E351),ISBLANK(G351),ISBLANK(H351),ISBLANK(J351)),"",ROW()-6)</f>
        <v/>
      </c>
      <c r="B351" s="9" t="inlineStr">
        <is>
          <t>Wind-Resisting Column "H"</t>
        </is>
      </c>
      <c r="C351" s="8" t="inlineStr">
        <is>
          <t>kg</t>
        </is>
      </c>
      <c r="D351" s="10" t="n">
        <v>13000</v>
      </c>
      <c r="E351" s="11" t="n">
        <v>0.9</v>
      </c>
      <c r="F351" s="12">
        <f>IF(AND(D351&lt;&gt;"",E351&lt;&gt;""),D351*E351,"")</f>
        <v/>
      </c>
      <c r="G351" s="13" t="n"/>
      <c r="H351" s="13" t="n">
        <v>100</v>
      </c>
      <c r="I351" s="14" t="inlineStr">
        <is>
          <t>II- Machinery and Equipment</t>
        </is>
      </c>
      <c r="J351" s="9" t="inlineStr"/>
    </row>
    <row r="352">
      <c r="A352" s="8">
        <f>IF(AND(ISBLANK(B352),ISBLANK(C352),ISBLANK(D352),ISBLANK(E352),ISBLANK(G352),ISBLANK(H352),ISBLANK(J352)),"",ROW()-6)</f>
        <v/>
      </c>
      <c r="B352" s="9" t="inlineStr">
        <is>
          <t>Wire (Various Specifications)</t>
        </is>
      </c>
      <c r="C352" s="8" t="inlineStr">
        <is>
          <t>m</t>
        </is>
      </c>
      <c r="D352" s="10" t="n">
        <v>12000</v>
      </c>
      <c r="E352" s="11" t="n">
        <v>0.3</v>
      </c>
      <c r="F352" s="12">
        <f>IF(AND(D352&lt;&gt;"",E352&lt;&gt;""),D352*E352,"")</f>
        <v/>
      </c>
      <c r="G352" s="13" t="n"/>
      <c r="H352" s="13" t="n">
        <v>100</v>
      </c>
      <c r="I352" s="14" t="inlineStr">
        <is>
          <t>II- Machinery and Equipment</t>
        </is>
      </c>
      <c r="J352" s="9" t="inlineStr"/>
    </row>
    <row r="353">
      <c r="A353" s="8">
        <f>IF(AND(ISBLANK(B353),ISBLANK(C353),ISBLANK(D353),ISBLANK(E353),ISBLANK(G353),ISBLANK(H353),ISBLANK(J353)),"",ROW()-6)</f>
        <v/>
      </c>
      <c r="B353" s="9" t="inlineStr">
        <is>
          <t>Wire (UL Certification18#)</t>
        </is>
      </c>
      <c r="C353" s="8" t="inlineStr">
        <is>
          <t>roll</t>
        </is>
      </c>
      <c r="D353" s="10" t="n">
        <v>100</v>
      </c>
      <c r="E353" s="11" t="n">
        <v>55</v>
      </c>
      <c r="F353" s="12">
        <f>IF(AND(D353&lt;&gt;"",E353&lt;&gt;""),D353*E353,"")</f>
        <v/>
      </c>
      <c r="G353" s="13" t="n"/>
      <c r="H353" s="13" t="n">
        <v>100</v>
      </c>
      <c r="I353" s="14" t="inlineStr">
        <is>
          <t>II- Machinery and Equipment</t>
        </is>
      </c>
      <c r="J353" s="9" t="inlineStr"/>
    </row>
    <row r="354">
      <c r="A354" s="8">
        <f>IF(AND(ISBLANK(B354),ISBLANK(C354),ISBLANK(D354),ISBLANK(E354),ISBLANK(G354),ISBLANK(H354),ISBLANK(J354)),"",ROW()-6)</f>
        <v/>
      </c>
      <c r="B354" s="9" t="inlineStr">
        <is>
          <t>Wire (UL Certification20#)</t>
        </is>
      </c>
      <c r="C354" s="8" t="inlineStr">
        <is>
          <t>roll</t>
        </is>
      </c>
      <c r="D354" s="10" t="n">
        <v>200</v>
      </c>
      <c r="E354" s="11" t="n">
        <v>52</v>
      </c>
      <c r="F354" s="12">
        <f>IF(AND(D354&lt;&gt;"",E354&lt;&gt;""),D354*E354,"")</f>
        <v/>
      </c>
      <c r="G354" s="13" t="n"/>
      <c r="H354" s="13" t="n">
        <v>100</v>
      </c>
      <c r="I354" s="14" t="inlineStr">
        <is>
          <t>II- Machinery and Equipment</t>
        </is>
      </c>
      <c r="J354" s="9" t="inlineStr"/>
    </row>
    <row r="355">
      <c r="A355" s="8">
        <f>IF(AND(ISBLANK(B355),ISBLANK(C355),ISBLANK(D355),ISBLANK(E355),ISBLANK(G355),ISBLANK(H355),ISBLANK(J355)),"",ROW()-6)</f>
        <v/>
      </c>
      <c r="B355" s="9" t="inlineStr">
        <is>
          <t>Wire (UL Certification22#)</t>
        </is>
      </c>
      <c r="C355" s="8" t="inlineStr">
        <is>
          <t>roll</t>
        </is>
      </c>
      <c r="D355" s="10" t="n">
        <v>800</v>
      </c>
      <c r="E355" s="11" t="n">
        <v>45</v>
      </c>
      <c r="F355" s="12">
        <f>IF(AND(D355&lt;&gt;"",E355&lt;&gt;""),D355*E355,"")</f>
        <v/>
      </c>
      <c r="G355" s="13" t="n"/>
      <c r="H355" s="13" t="n">
        <v>100</v>
      </c>
      <c r="I355" s="14" t="inlineStr">
        <is>
          <t>II- Machinery and Equipment</t>
        </is>
      </c>
      <c r="J355" s="9" t="inlineStr"/>
    </row>
    <row r="356">
      <c r="A356" s="8">
        <f>IF(AND(ISBLANK(B356),ISBLANK(C356),ISBLANK(D356),ISBLANK(E356),ISBLANK(G356),ISBLANK(H356),ISBLANK(J356)),"",ROW()-6)</f>
        <v/>
      </c>
      <c r="B356" s="9" t="inlineStr">
        <is>
          <t>Steel Structure</t>
        </is>
      </c>
      <c r="C356" s="8" t="inlineStr">
        <is>
          <t>tons</t>
        </is>
      </c>
      <c r="D356" s="10" t="n">
        <v>13</v>
      </c>
      <c r="E356" s="11" t="n">
        <v>500</v>
      </c>
      <c r="F356" s="12">
        <f>IF(AND(D356&lt;&gt;"",E356&lt;&gt;""),D356*E356,"")</f>
        <v/>
      </c>
      <c r="G356" s="13" t="n"/>
      <c r="H356" s="13" t="n">
        <v>100</v>
      </c>
      <c r="I356" s="14" t="inlineStr">
        <is>
          <t>I- Construction Material</t>
        </is>
      </c>
      <c r="J356" s="9" t="inlineStr"/>
    </row>
    <row r="357">
      <c r="A357" s="8">
        <f>IF(AND(ISBLANK(B357),ISBLANK(C357),ISBLANK(D357),ISBLANK(E357),ISBLANK(G357),ISBLANK(H357),ISBLANK(J357)),"",ROW()-6)</f>
        <v/>
      </c>
      <c r="B357" s="9" t="inlineStr">
        <is>
          <t>Color Steel in Coil</t>
        </is>
      </c>
      <c r="C357" s="8" t="inlineStr">
        <is>
          <t>tons</t>
        </is>
      </c>
      <c r="D357" s="10" t="n">
        <v>12</v>
      </c>
      <c r="E357" s="11" t="n">
        <v>550</v>
      </c>
      <c r="F357" s="12">
        <f>IF(AND(D357&lt;&gt;"",E357&lt;&gt;""),D357*E357,"")</f>
        <v/>
      </c>
      <c r="G357" s="13" t="n"/>
      <c r="H357" s="13" t="n">
        <v>100</v>
      </c>
      <c r="I357" s="14" t="inlineStr">
        <is>
          <t>I- Construction Material</t>
        </is>
      </c>
      <c r="J357" s="9" t="inlineStr"/>
    </row>
    <row r="358">
      <c r="A358" s="8">
        <f>IF(AND(ISBLANK(B358),ISBLANK(C358),ISBLANK(D358),ISBLANK(E358),ISBLANK(G358),ISBLANK(H358),ISBLANK(J358)),"",ROW()-6)</f>
        <v/>
      </c>
      <c r="B358" s="9" t="inlineStr">
        <is>
          <t>Alloy Window Frame</t>
        </is>
      </c>
      <c r="C358" s="8" t="inlineStr">
        <is>
          <t>m2</t>
        </is>
      </c>
      <c r="D358" s="10" t="n">
        <v>650</v>
      </c>
      <c r="E358" s="11" t="n">
        <v>20</v>
      </c>
      <c r="F358" s="12">
        <f>IF(AND(D358&lt;&gt;"",E358&lt;&gt;""),D358*E358,"")</f>
        <v/>
      </c>
      <c r="G358" s="13" t="n"/>
      <c r="H358" s="13" t="n">
        <v>100</v>
      </c>
      <c r="I358" s="14" t="inlineStr">
        <is>
          <t>I- Construction Material</t>
        </is>
      </c>
      <c r="J358" s="9" t="inlineStr"/>
    </row>
    <row r="359">
      <c r="A359" s="8">
        <f>IF(AND(ISBLANK(B359),ISBLANK(C359),ISBLANK(D359),ISBLANK(E359),ISBLANK(G359),ISBLANK(H359),ISBLANK(J359)),"",ROW()-6)</f>
        <v/>
      </c>
      <c r="B359" s="9" t="inlineStr">
        <is>
          <t>H Type Steel</t>
        </is>
      </c>
      <c r="C359" s="8" t="inlineStr">
        <is>
          <t>tons</t>
        </is>
      </c>
      <c r="D359" s="10" t="n">
        <v>12</v>
      </c>
      <c r="E359" s="11" t="n">
        <v>650</v>
      </c>
      <c r="F359" s="12">
        <f>IF(AND(D359&lt;&gt;"",E359&lt;&gt;""),D359*E359,"")</f>
        <v/>
      </c>
      <c r="G359" s="13" t="n"/>
      <c r="H359" s="13" t="n">
        <v>100</v>
      </c>
      <c r="I359" s="14" t="inlineStr">
        <is>
          <t>I- Construction Material</t>
        </is>
      </c>
      <c r="J359" s="9" t="inlineStr"/>
    </row>
    <row r="360">
      <c r="A360" s="8">
        <f>IF(AND(ISBLANK(B360),ISBLANK(C360),ISBLANK(D360),ISBLANK(E360),ISBLANK(G360),ISBLANK(H360),ISBLANK(J360)),"",ROW()-6)</f>
        <v/>
      </c>
      <c r="B360" s="9" t="inlineStr">
        <is>
          <t>C Type Steel</t>
        </is>
      </c>
      <c r="C360" s="8" t="inlineStr">
        <is>
          <t>tons</t>
        </is>
      </c>
      <c r="D360" s="10" t="n">
        <v>15</v>
      </c>
      <c r="E360" s="11" t="n">
        <v>800</v>
      </c>
      <c r="F360" s="12">
        <f>IF(AND(D360&lt;&gt;"",E360&lt;&gt;""),D360*E360,"")</f>
        <v/>
      </c>
      <c r="G360" s="13" t="n"/>
      <c r="H360" s="13" t="n">
        <v>100</v>
      </c>
      <c r="I360" s="14" t="inlineStr">
        <is>
          <t>I- Construction Material</t>
        </is>
      </c>
      <c r="J360" s="9" t="inlineStr"/>
    </row>
    <row r="361">
      <c r="A361" s="8">
        <f>IF(AND(ISBLANK(B361),ISBLANK(C361),ISBLANK(D361),ISBLANK(E361),ISBLANK(G361),ISBLANK(H361),ISBLANK(J361)),"",ROW()-6)</f>
        <v/>
      </c>
      <c r="B361" s="9" t="inlineStr">
        <is>
          <t>PVC Tile</t>
        </is>
      </c>
      <c r="C361" s="8" t="inlineStr">
        <is>
          <t>tons</t>
        </is>
      </c>
      <c r="D361" s="10" t="n">
        <v>15</v>
      </c>
      <c r="E361" s="11" t="n">
        <v>200</v>
      </c>
      <c r="F361" s="12">
        <f>IF(AND(D361&lt;&gt;"",E361&lt;&gt;""),D361*E361,"")</f>
        <v/>
      </c>
      <c r="G361" s="13" t="n"/>
      <c r="H361" s="13" t="n">
        <v>100</v>
      </c>
      <c r="I361" s="14" t="inlineStr">
        <is>
          <t>I- Construction Material</t>
        </is>
      </c>
      <c r="J361" s="9" t="inlineStr"/>
    </row>
    <row r="362">
      <c r="A362" s="8">
        <f>IF(AND(ISBLANK(B362),ISBLANK(C362),ISBLANK(D362),ISBLANK(E362),ISBLANK(G362),ISBLANK(H362),ISBLANK(J362)),"",ROW()-6)</f>
        <v/>
      </c>
      <c r="B362" s="9" t="inlineStr">
        <is>
          <t>Square Steel</t>
        </is>
      </c>
      <c r="C362" s="8" t="inlineStr">
        <is>
          <t>tons</t>
        </is>
      </c>
      <c r="D362" s="10" t="n">
        <v>11</v>
      </c>
      <c r="E362" s="11" t="n">
        <v>600</v>
      </c>
      <c r="F362" s="12">
        <f>IF(AND(D362&lt;&gt;"",E362&lt;&gt;""),D362*E362,"")</f>
        <v/>
      </c>
      <c r="G362" s="13" t="n"/>
      <c r="H362" s="13" t="n">
        <v>100</v>
      </c>
      <c r="I362" s="14" t="inlineStr">
        <is>
          <t>I- Construction Material</t>
        </is>
      </c>
      <c r="J362" s="9" t="inlineStr"/>
    </row>
    <row r="363">
      <c r="A363" s="8">
        <f>IF(AND(ISBLANK(B363),ISBLANK(C363),ISBLANK(D363),ISBLANK(E363),ISBLANK(G363),ISBLANK(H363),ISBLANK(J363)),"",ROW()-6)</f>
        <v/>
      </c>
      <c r="B363" s="9" t="inlineStr">
        <is>
          <t>Galvanization Pipe</t>
        </is>
      </c>
      <c r="C363" s="8" t="inlineStr">
        <is>
          <t>tons</t>
        </is>
      </c>
      <c r="D363" s="10" t="n">
        <v>10</v>
      </c>
      <c r="E363" s="11" t="n">
        <v>600</v>
      </c>
      <c r="F363" s="12">
        <f>IF(AND(D363&lt;&gt;"",E363&lt;&gt;""),D363*E363,"")</f>
        <v/>
      </c>
      <c r="G363" s="13" t="n"/>
      <c r="H363" s="13" t="n">
        <v>100</v>
      </c>
      <c r="I363" s="14" t="inlineStr">
        <is>
          <t>I- Construction Material</t>
        </is>
      </c>
      <c r="J363" s="9" t="inlineStr"/>
    </row>
    <row r="364">
      <c r="A364" s="8">
        <f>IF(AND(ISBLANK(B364),ISBLANK(C364),ISBLANK(D364),ISBLANK(E364),ISBLANK(G364),ISBLANK(H364),ISBLANK(J364)),"",ROW()-6)</f>
        <v/>
      </c>
      <c r="B364" s="9" t="inlineStr">
        <is>
          <t>Re-Ground Concrete</t>
        </is>
      </c>
      <c r="C364" s="8" t="inlineStr">
        <is>
          <t>m2</t>
        </is>
      </c>
      <c r="D364" s="10" t="n">
        <v>5500</v>
      </c>
      <c r="E364" s="11" t="n">
        <v>5</v>
      </c>
      <c r="F364" s="12">
        <f>IF(AND(D364&lt;&gt;"",E364&lt;&gt;""),D364*E364,"")</f>
        <v/>
      </c>
      <c r="G364" s="13" t="n"/>
      <c r="H364" s="13" t="n">
        <v>100</v>
      </c>
      <c r="I364" s="14" t="inlineStr">
        <is>
          <t>I- Construction Material</t>
        </is>
      </c>
      <c r="J364" s="9" t="inlineStr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2025-12-02T07:43:47Z</dcterms:created>
  <dcterms:modified xsi:type="dcterms:W3CDTF">2025-12-02T07:43:48Z</dcterms:modified>
</cp:coreProperties>
</file>